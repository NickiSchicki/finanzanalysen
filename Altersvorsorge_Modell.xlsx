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l" sheetId="1" state="visible" r:id="rId3"/>
    <sheet name="Betrag variabel" sheetId="2" state="visible" r:id="rId4"/>
    <sheet name="Ewige Rente" sheetId="3" state="visible" r:id="rId5"/>
    <sheet name="Szenarien" sheetId="4" state="visible" r:id="rId6"/>
    <sheet name="Renteneintritt variab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<sst xmlns="http://schemas.openxmlformats.org/spreadsheetml/2006/main" count="132" uniqueCount="120">
  <si>
    <t xml:space="preserve">Altersvorsorge-Modell – reale (inflationsbereinigte) Monatsrente</t>
  </si>
  <si>
    <t xml:space="preserve">Einmalanlage → Ansparphase → Entnahmephase. Ergebnis in heutiger Kaufkraft. Nur die blauen Felder anpassen.</t>
  </si>
  <si>
    <t xml:space="preserve">EINGABEN  (blaue Felder)</t>
  </si>
  <si>
    <t xml:space="preserve">Aktuelles Alter</t>
  </si>
  <si>
    <t xml:space="preserve">Renteneintritt mit Alter</t>
  </si>
  <si>
    <t xml:space="preserve">Geld soll reichen bis Alter</t>
  </si>
  <si>
    <t xml:space="preserve">Startkapital</t>
  </si>
  <si>
    <t xml:space="preserve">Erwartete Rendite p.a. (nominal)</t>
  </si>
  <si>
    <t xml:space="preserve">optimistisch 8 % – realistisch eher 6–7 %</t>
  </si>
  <si>
    <t xml:space="preserve">Inflation p.a.</t>
  </si>
  <si>
    <t xml:space="preserve">Steuersatz auf Kapitalerträge (effektiv)</t>
  </si>
  <si>
    <t xml:space="preserve">26,375 % Abgeltungst.; Aktien-ETF mit 30 % Teilfreistellung ≈ 18,5 %</t>
  </si>
  <si>
    <t xml:space="preserve">ABGELEITETE GRÖSSEN</t>
  </si>
  <si>
    <t xml:space="preserve">Ansparjahre</t>
  </si>
  <si>
    <t xml:space="preserve">Auszahljahre</t>
  </si>
  <si>
    <t xml:space="preserve">Realzins p.a. (brutto)</t>
  </si>
  <si>
    <t xml:space="preserve">Realzins p.a. (netto, Entnahmephase)</t>
  </si>
  <si>
    <t xml:space="preserve">KAPITAL BEI RENTENEINTRITT</t>
  </si>
  <si>
    <t xml:space="preserve">Kapital nominal (brutto)</t>
  </si>
  <si>
    <t xml:space="preserve">Kapital real heute (brutto)</t>
  </si>
  <si>
    <t xml:space="preserve">Steuer auf Gewinn b. Entnahmebeginn</t>
  </si>
  <si>
    <t xml:space="preserve">Kapital nominal nach Steuer</t>
  </si>
  <si>
    <t xml:space="preserve">Kapital real heute (netto)</t>
  </si>
  <si>
    <t xml:space="preserve">MONATSRENTE (real, heutige Kaufkraft)</t>
  </si>
  <si>
    <t xml:space="preserve">Monatsrente brutto (vor Steuer)</t>
  </si>
  <si>
    <t xml:space="preserve">Monatsrente NETTO (nach Steuer)</t>
  </si>
  <si>
    <t xml:space="preserve">Jahresrente netto</t>
  </si>
  <si>
    <t xml:space="preserve">1. Zahlung nominal bei Renteneintritt (netto)</t>
  </si>
  <si>
    <t xml:space="preserve">FAUSTREGEL  (bei den aktuellen Annahmen)</t>
  </si>
  <si>
    <t xml:space="preserve">Je 1.000 € heute  →  Netto-Monatsrente (real)</t>
  </si>
  <si>
    <t xml:space="preserve">× Betrag/1.000 = deine Rente (z. B. 50.000 € → 50×)</t>
  </si>
  <si>
    <t xml:space="preserve">Je 1.000 € heute  →  Brutto-Monatsrente (real)</t>
  </si>
  <si>
    <t xml:space="preserve">Umgekehrt: Kapital heute je 1.000 € gewünschte Netto-Rente/Monat</t>
  </si>
  <si>
    <t xml:space="preserve">HINWEISE / ANNAHMEN</t>
  </si>
  <si>
    <t xml:space="preserve">• Monatliche, nachschüssige Rente; real konstant (steigt nominal mit der Inflation), Endkapital = 0 beim Endalter.</t>
  </si>
  <si>
    <t xml:space="preserve">• Realrechnung via Fisher: Realzins = (1+Rendite)/(1+Inflation)-1. Alle Ergebnisse in heutiger Kaufkraft.</t>
  </si>
  <si>
    <t xml:space="preserve">• Die Rente steigt proportional zum Startkapital – daher gilt die Faustregel für jeden Betrag.</t>
  </si>
  <si>
    <t xml:space="preserve">• Steuer-Näherung: Ansparphase steuerfrei wachsen, Gewinn bei Renteneintritt einmalig versteuern (ETF-Stundung), Entnahmephase laufend.</t>
  </si>
  <si>
    <t xml:space="preserve">• NICHT enthalten: Markt-/Reihenfolgerisiko (Crash zu Rentenbeginn), Pflege-/Gesundheitskosten, gesetzliche Rente, Gebühren.</t>
  </si>
  <si>
    <t xml:space="preserve">• Endalter 90 ist konservativ – wirst du jünger, bleibt ein Puffer/Erbe übrig (siehe Blatt 'Szenarien').</t>
  </si>
  <si>
    <t xml:space="preserve">Betrag variabel – reale Netto-Monatsrente für jeden Startbetrag</t>
  </si>
  <si>
    <t xml:space="preserve">Der Betrag ist die einzige echte Variable (gelb). Rendite, Inflation, Steuer &amp; Alter kommen aus Blatt 'Modell'. Alles in heutiger Kaufkraft.</t>
  </si>
  <si>
    <t xml:space="preserve">DEIN SZENARIO  (nur gelbe Felder ändern)</t>
  </si>
  <si>
    <t xml:space="preserve">Startbetrag heute (€)</t>
  </si>
  <si>
    <t xml:space="preserve">Rendite p.a. (Modell)</t>
  </si>
  <si>
    <t xml:space="preserve">Inflation p.a. (Modell)</t>
  </si>
  <si>
    <t xml:space="preserve">Aktuelles Alter (aus 'Modell')</t>
  </si>
  <si>
    <t xml:space="preserve">Steuer effektiv (Modell)</t>
  </si>
  <si>
    <t xml:space="preserve">Endalter (aus 'Modell')</t>
  </si>
  <si>
    <t xml:space="preserve">Ansparjahre n</t>
  </si>
  <si>
    <t xml:space="preserve">Auszahljahre m</t>
  </si>
  <si>
    <t xml:space="preserve">Reales Netto-Kapital bei Rente (€)</t>
  </si>
  <si>
    <t xml:space="preserve">→ NETTO-Monatsrente (real, heute)</t>
  </si>
  <si>
    <t xml:space="preserve">→ Brutto-Monatsrente (real)</t>
  </si>
  <si>
    <t xml:space="preserve">→ je 1.000 € heute = €/Monat netto</t>
  </si>
  <si>
    <t xml:space="preserve">TABELLE 1 – NETTO-Monatsrente (real, €/Monat)  je Startbetrag × Renteneintritt</t>
  </si>
  <si>
    <t xml:space="preserve">Startbetrag ↓ / Renteneintritt →</t>
  </si>
  <si>
    <t xml:space="preserve">TABELLE 2 – UMGEKEHRT: nötiger Startbetrag heute (€) für Wunsch-Netto-Rente</t>
  </si>
  <si>
    <t xml:space="preserve">Wunsch €/Mon ↓ / Renteneintritt →</t>
  </si>
  <si>
    <t xml:space="preserve">HINWEISE</t>
  </si>
  <si>
    <t xml:space="preserve">• Der Betrag skaliert die Rente LINEAR: doppelter Betrag = doppelte Rente (deshalb reicht eine Tabelle für alle Fälle).</t>
  </si>
  <si>
    <t xml:space="preserve">• Annahmen (Rendite, Inflation, Steuer, aktuelles Alter, Endalter) stammen aus Blatt 'Modell' – dort ändern wirkt hier automatisch.</t>
  </si>
  <si>
    <t xml:space="preserve">• Renteneintritt in den Tabellen fest 60/65/70; im Szenario oben frei wählbar. Auszahlung bis Endkapital 0 beim Endalter.</t>
  </si>
  <si>
    <t xml:space="preserve">• Alle Beträge real (heutige Kaufkraft). Steuer: ETF-Stundung, Gewinn bei Renteneintritt versteuert, Entnahme laufend.</t>
  </si>
  <si>
    <t xml:space="preserve">Ewige Rente – von den Erträgen leben, Kapital bleibt erhalten</t>
  </si>
  <si>
    <t xml:space="preserve">Du entnimmst jährlich einen festen %-Satz; liegt er unter der Realrendite, wächst das Kapital real weiter. Nur blaue Felder ändern.</t>
  </si>
  <si>
    <t xml:space="preserve">ANNAHMEN  (blaue Felder)</t>
  </si>
  <si>
    <t xml:space="preserve">Rendite p.a. nominal</t>
  </si>
  <si>
    <t xml:space="preserve">Entnahmequote (sicher) p.a.</t>
  </si>
  <si>
    <t xml:space="preserve">klassisch 3–4 % ('Safe Withdrawal Rate')</t>
  </si>
  <si>
    <t xml:space="preserve">Steuersatz auf Erträge (effektiv)</t>
  </si>
  <si>
    <t xml:space="preserve">Kapital wächst real um (Realzins − Entnahme)</t>
  </si>
  <si>
    <t xml:space="preserve">positiv = ewig (Kapital wächst); negativ = schrumpft, nicht ewig</t>
  </si>
  <si>
    <t xml:space="preserve">TABELLE 1 – Ewige Rente nach Anspardauer (bei den aktuellen Annahmen)</t>
  </si>
  <si>
    <t xml:space="preserve">Anspardauer (Jahre)</t>
  </si>
  <si>
    <t xml:space="preserve">Reales Kapital heute (€)</t>
  </si>
  <si>
    <t xml:space="preserve">Ewige Rente BRUTTO (€/Mon)</t>
  </si>
  <si>
    <t xml:space="preserve">Ewige Rente NETTO (€/Mon)</t>
  </si>
  <si>
    <t xml:space="preserve">je 1.000 € netto (€/Mon)</t>
  </si>
  <si>
    <t xml:space="preserve">TABELLE 2 – Netto €/Monat nach Entnahmequote × Anspardauer (für Startkapital)</t>
  </si>
  <si>
    <t xml:space="preserve">Anspardauer ↓ / Entnahme →</t>
  </si>
  <si>
    <t xml:space="preserve">Kapital wächst real/Jahr →</t>
  </si>
  <si>
    <t xml:space="preserve">Negativ ⇒ Entnahme über Realrendite ⇒ Kapital schrumpft, NICHT mehr ewig.</t>
  </si>
  <si>
    <t xml:space="preserve">• Reales Kapital = Startkapital × (1,07/1,025)^n (Ansparphase, brutto/buy-and-hold).</t>
  </si>
  <si>
    <t xml:space="preserve">• Ewige Rente = Entnahmequote × reales Kapital; bleibt real konstant, solange Quote ≤ Realrendite.</t>
  </si>
  <si>
    <t xml:space="preserve">• Steuer: Entnahmen mit effektivem Satz auf Erträge versteuert (netto = brutto × (1−Steuer)).</t>
  </si>
  <si>
    <t xml:space="preserve">• 'Ewig' gilt nur, wenn Entnahmequote &lt; Realrendite (hier 4,39 %). Darüber wird Kapital aufgezehrt.</t>
  </si>
  <si>
    <t xml:space="preserve">• Kein Markt-/Reihenfolgerisiko abgebildet – der Puffer (Realrendite − Entnahme) ist genau dafür da.</t>
  </si>
  <si>
    <t xml:space="preserve">Szenario-Matrix – reale Monatsrente (heutige Kaufkraft)</t>
  </si>
  <si>
    <t xml:space="preserve">Basis aus Blatt 'Modell': Startkapital, Ansparjahre, Inflation, Steuersatz, Renteneintritt. Spalten = Rendite p.a. nominal, Zeilen = Endalter.</t>
  </si>
  <si>
    <t xml:space="preserve">NETTO (nach Steuer) – € real / Monat</t>
  </si>
  <si>
    <t xml:space="preserve">Geld reicht bis Alter</t>
  </si>
  <si>
    <t xml:space="preserve">BRUTTO (vor Steuer) – € real / Monat</t>
  </si>
  <si>
    <t xml:space="preserve">FAUSTREGEL – Netto-Monatsrente je 1.000 € heute investiert (€/Monat)</t>
  </si>
  <si>
    <t xml:space="preserve">Lesart Faustregel: bei dieser Rendite/diesem Endalter bringt jede heute investierte 1.000 € rund den gezeigten Betrag reale Netto-Rente pro Monat – linear skalierbar.</t>
  </si>
  <si>
    <t xml:space="preserve">Renteneintritt variabel – feste Annahmen, nur die Zeit bis zur Rente ändert sich</t>
  </si>
  <si>
    <t xml:space="preserve">Tod mit 90 und 7 % Rendite fix. n = Jahre bis Renteneintritt ist die einzige Variable.</t>
  </si>
  <si>
    <t xml:space="preserve">FESTE ANNAHMEN</t>
  </si>
  <si>
    <t xml:space="preserve">Todesalter (fix)</t>
  </si>
  <si>
    <t xml:space="preserve">Rendite p.a. nominal (fix)</t>
  </si>
  <si>
    <t xml:space="preserve">Inflation p.a. (fix)</t>
  </si>
  <si>
    <t xml:space="preserve">Steuersatz effektiv (fix)</t>
  </si>
  <si>
    <t xml:space="preserve">KONSTANTEN</t>
  </si>
  <si>
    <t xml:space="preserve">Realzins brutto  r</t>
  </si>
  <si>
    <t xml:space="preserve">Nettorendite nominal  i·(1-t)</t>
  </si>
  <si>
    <t xml:space="preserve">Realzins netto  r*  (Entnahme)</t>
  </si>
  <si>
    <t xml:space="preserve">Monatsfaktor  q=(1+r*)^(1/12)-1</t>
  </si>
  <si>
    <t xml:space="preserve">Jahre bis Rente  n</t>
  </si>
  <si>
    <t xml:space="preserve">Renteneintritt (Alter)</t>
  </si>
  <si>
    <t xml:space="preserve">Auszahljahre  m</t>
  </si>
  <si>
    <t xml:space="preserve">Kapital real netto (€)</t>
  </si>
  <si>
    <t xml:space="preserve">Monatsrente netto real (€)</t>
  </si>
  <si>
    <t xml:space="preserve">je 1.000 € → €/Mon</t>
  </si>
  <si>
    <t xml:space="preserve">FORMEL (netto, real, heutige Kaufkraft):</t>
  </si>
  <si>
    <t xml:space="preserve">Rente(n) = K(n) · q / ( 1 − (1+r*)^(−m) )</t>
  </si>
  <si>
    <t xml:space="preserve">   K(n) = P · [ 1 + ( (1+i)^n − 1 ) · (1−t) ] / (1+π)^n        (reales Netto-Kapital bei Renteneintritt)</t>
  </si>
  <si>
    <t xml:space="preserve">   r* = (1 + i·(1−t)) / (1+π) − 1 = 3,1268 %      q = (1+r*)^(1/12) − 1 = 0,2569 %/Monat</t>
  </si>
  <si>
    <t xml:space="preserve">   m = Todesalter − Alter − n = 90 − 25 − n = 65 − n      (Auszahljahre)</t>
  </si>
  <si>
    <t xml:space="preserve">   fix: i = 7 %, π = 2,5 %, t = 18,5 %, P = Startkapital</t>
  </si>
  <si>
    <t xml:space="preserve">Je 1.000 €: einfach P = 1000 setzen (Ergebnis ist linear in P).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</si>
</sst>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&quot; €&quot;"/>
    <numFmt numFmtId="167" formatCode="0.0%"/>
    <numFmt numFmtId="168" formatCode="0.00%"/>
    <numFmt numFmtId="169" formatCode="#,##0.00&quot; €&quot;"/>
    <numFmt numFmtId="170" formatCode="#,##0.0&quot; €&quot;"/>
    <numFmt numFmtId="171" formatCode="0.000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333333"/>
      <name val="Arial"/>
      <family val="0"/>
      <charset val="1"/>
    </font>
    <font>
      <sz val="9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Ewige Rente netto (€/Monat) nach Anspardauer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'Ewige Rente'!D15</c:f>
              <c:strCache>
                <c:ptCount val="1"/>
                <c:pt idx="0">
                  <c:v>Ewige Rente NETTO (€/Mon)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'Ewige Rente'!$A$16:$A$24</c:f>
              <c:strCach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strCache>
            </c:strRef>
          </c:cat>
          <c:val>
            <c:numRef>
              <c:f>'Ewige Rente'!$D$16:$D$24</c:f>
              <c:numCache>
                <c:formatCode>#,##0" €"</c:formatCode>
                <c:ptCount val="9"/>
                <c:pt idx="0">
                  <c:v>884.026376651492</c:v>
                </c:pt>
                <c:pt idx="1">
                  <c:v>1095.88450077555</c:v>
                </c:pt>
                <c:pt idx="2">
                  <c:v>1358.51471263683</c:v>
                </c:pt>
                <c:pt idx="3">
                  <c:v>1684.08461215086</c:v>
                </c:pt>
                <c:pt idx="4">
                  <c:v>2087.67778111026</c:v>
                </c:pt>
                <c:pt idx="5">
                  <c:v>2587.99260220961</c:v>
                </c:pt>
                <c:pt idx="6">
                  <c:v>3208.2085510005</c:v>
                </c:pt>
                <c:pt idx="7">
                  <c:v>3977.06009589245</c:v>
                </c:pt>
                <c:pt idx="8">
                  <c:v>4930.16795975044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076156"/>
        <c:axId val="91923410"/>
      </c:lineChart>
      <c:catAx>
        <c:axId val="27076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Anspardauer (Jahre)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923410"/>
        <c:crosses val="autoZero"/>
        <c:auto val="1"/>
        <c:lblAlgn val="ctr"/>
        <c:lblOffset val="100"/>
        <c:noMultiLvlLbl val="0"/>
      </c:catAx>
      <c:valAx>
        <c:axId val="919234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€/Monat netto (real)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0761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Reale Netto-Monatsrente nach Renteneintrittsalter (300.000 €, 7 %, Tod mit 90)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'Renteneintritt variabel'!E18</c:f>
              <c:strCache>
                <c:ptCount val="1"/>
                <c:pt idx="0">
                  <c:v>Monatsrente netto real (€)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'Renteneintritt variabel'!$B$19:$B$54</c:f>
              <c:strCache>
                <c:ptCount val="3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</c:strCache>
            </c:strRef>
          </c:cat>
          <c:val>
            <c:numRef>
              <c:f>'Renteneintritt variabel'!$E$19:$E$54</c:f>
              <c:numCache>
                <c:formatCode>#,##0" €"</c:formatCode>
                <c:ptCount val="36"/>
                <c:pt idx="0">
                  <c:v>1319.27142065404</c:v>
                </c:pt>
                <c:pt idx="1">
                  <c:v>1377.57552631715</c:v>
                </c:pt>
                <c:pt idx="2">
                  <c:v>1439.42925070652</c:v>
                </c:pt>
                <c:pt idx="3">
                  <c:v>1505.06437139883</c:v>
                </c:pt>
                <c:pt idx="4">
                  <c:v>1574.73176727839</c:v>
                </c:pt>
                <c:pt idx="5">
                  <c:v>1648.7033370014</c:v>
                </c:pt>
                <c:pt idx="6">
                  <c:v>1727.27415262611</c:v>
                </c:pt>
                <c:pt idx="7">
                  <c:v>1810.7648826988</c:v>
                </c:pt>
                <c:pt idx="8">
                  <c:v>1899.52452492206</c:v>
                </c:pt>
                <c:pt idx="9">
                  <c:v>1993.93349551056</c:v>
                </c:pt>
                <c:pt idx="10">
                  <c:v>2094.40713071399</c:v>
                </c:pt>
                <c:pt idx="11">
                  <c:v>2201.39966607415</c:v>
                </c:pt>
                <c:pt idx="12">
                  <c:v>2315.40877118185</c:v>
                </c:pt>
                <c:pt idx="13">
                  <c:v>2436.98073251216</c:v>
                </c:pt>
                <c:pt idx="14">
                  <c:v>2566.71639498055</c:v>
                </c:pt>
                <c:pt idx="15">
                  <c:v>2705.27799499141</c:v>
                </c:pt>
                <c:pt idx="16">
                  <c:v>2853.39704498578</c:v>
                </c:pt>
                <c:pt idx="17">
                  <c:v>3011.88346318095</c:v>
                </c:pt>
                <c:pt idx="18">
                  <c:v>3181.63618407439</c:v>
                </c:pt>
                <c:pt idx="19">
                  <c:v>3363.65553763414</c:v>
                </c:pt>
                <c:pt idx="20">
                  <c:v>3559.05775090872</c:v>
                </c:pt>
                <c:pt idx="21">
                  <c:v>3769.09200902158</c:v>
                </c:pt>
                <c:pt idx="22">
                  <c:v>3995.16061844574</c:v>
                </c:pt>
                <c:pt idx="23">
                  <c:v>4238.84295117909</c:v>
                </c:pt>
                <c:pt idx="24">
                  <c:v>4501.92402356865</c:v>
                </c:pt>
                <c:pt idx="25">
                  <c:v>4786.42879119878</c:v>
                </c:pt>
                <c:pt idx="26">
                  <c:v>5094.66353958003</c:v>
                </c:pt>
                <c:pt idx="27">
                  <c:v>5429.26614458634</c:v>
                </c:pt>
                <c:pt idx="28">
                  <c:v>5793.26750220268</c:v>
                </c:pt>
                <c:pt idx="29">
                  <c:v>6190.16713470325</c:v>
                </c:pt>
                <c:pt idx="30">
                  <c:v>6624.02694265949</c:v>
                </c:pt>
                <c:pt idx="31">
                  <c:v>7099.58839531033</c:v>
                </c:pt>
                <c:pt idx="32">
                  <c:v>7622.42029270893</c:v>
                </c:pt>
                <c:pt idx="33">
                  <c:v>8199.10682702912</c:v>
                </c:pt>
                <c:pt idx="34">
                  <c:v>8837.48937608551</c:v>
                </c:pt>
                <c:pt idx="35">
                  <c:v>9546.98083534307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402153"/>
        <c:axId val="30069293"/>
      </c:lineChart>
      <c:catAx>
        <c:axId val="724021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Renteneintrittsalter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069293"/>
        <c:crosses val="autoZero"/>
        <c:auto val="1"/>
        <c:lblAlgn val="ctr"/>
        <c:lblOffset val="100"/>
        <c:noMultiLvlLbl val="0"/>
      </c:catAx>
      <c:valAx>
        <c:axId val="300692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€/Monat (real, netto)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4021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14</xdr:row>
      <xdr:rowOff>0</xdr:rowOff>
    </xdr:from>
    <xdr:to>
      <xdr:col>15</xdr:col>
      <xdr:colOff>255600</xdr:colOff>
      <xdr:row>27</xdr:row>
      <xdr:rowOff>91080</xdr:rowOff>
    </xdr:to>
    <xdr:graphicFrame>
      <xdr:nvGraphicFramePr>
        <xdr:cNvPr id="1" name="Chart 1"/>
        <xdr:cNvGraphicFramePr/>
      </xdr:nvGraphicFramePr>
      <xdr:xfrm>
        <a:off x="7753320" y="2676600"/>
        <a:ext cx="5759280" cy="287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18</xdr:col>
      <xdr:colOff>472320</xdr:colOff>
      <xdr:row>19</xdr:row>
      <xdr:rowOff>40320</xdr:rowOff>
    </xdr:to>
    <xdr:graphicFrame>
      <xdr:nvGraphicFramePr>
        <xdr:cNvPr id="2" name="Chart 1"/>
        <xdr:cNvGraphicFramePr/>
      </xdr:nvGraphicFramePr>
      <xdr:xfrm>
        <a:off x="7166520" y="581040"/>
        <a:ext cx="7198920" cy="32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25</v>
      </c>
    </row>
    <row r="6" customFormat="false" ht="15" hidden="false" customHeight="true" outlineLevel="0" collapsed="false">
      <c r="A6" s="6" t="s">
        <v>4</v>
      </c>
      <c r="B6" s="7" t="n">
        <v>65</v>
      </c>
    </row>
    <row r="7" customFormat="false" ht="15" hidden="false" customHeight="true" outlineLevel="0" collapsed="false">
      <c r="A7" s="6" t="s">
        <v>5</v>
      </c>
      <c r="B7" s="7" t="n">
        <v>90</v>
      </c>
    </row>
    <row r="8" customFormat="false" ht="15" hidden="false" customHeight="true" outlineLevel="0" collapsed="false">
      <c r="A8" s="6" t="s">
        <v>6</v>
      </c>
      <c r="B8" s="8" t="n">
        <v>300000</v>
      </c>
    </row>
    <row r="9" customFormat="false" ht="15" hidden="false" customHeight="true" outlineLevel="0" collapsed="false">
      <c r="A9" s="6" t="s">
        <v>7</v>
      </c>
      <c r="B9" s="9" t="n">
        <v>0.07</v>
      </c>
      <c r="C9" s="10" t="s">
        <v>8</v>
      </c>
    </row>
    <row r="10" customFormat="false" ht="15" hidden="false" customHeight="true" outlineLevel="0" collapsed="false">
      <c r="A10" s="6" t="s">
        <v>9</v>
      </c>
      <c r="B10" s="9" t="n">
        <v>0.025</v>
      </c>
    </row>
    <row r="11" customFormat="false" ht="15" hidden="false" customHeight="true" outlineLevel="0" collapsed="false">
      <c r="A11" s="6" t="s">
        <v>10</v>
      </c>
      <c r="B11" s="9" t="n">
        <v>0.185</v>
      </c>
      <c r="C11" s="10" t="s">
        <v>11</v>
      </c>
    </row>
    <row r="13" customFormat="false" ht="15" hidden="false" customHeight="true" outlineLevel="0" collapsed="false">
      <c r="A13" s="4" t="s">
        <v>12</v>
      </c>
      <c r="B13" s="5"/>
      <c r="C13" s="5"/>
    </row>
    <row r="14" customFormat="false" ht="15" hidden="false" customHeight="true" outlineLevel="0" collapsed="false">
      <c r="A14" s="6" t="s">
        <v>13</v>
      </c>
      <c r="B14" s="11" t="n">
        <f aca="false">B6-B5</f>
        <v>40</v>
      </c>
    </row>
    <row r="15" customFormat="false" ht="15" hidden="false" customHeight="true" outlineLevel="0" collapsed="false">
      <c r="A15" s="6" t="s">
        <v>14</v>
      </c>
      <c r="B15" s="11" t="n">
        <f aca="false">B7-B6</f>
        <v>25</v>
      </c>
    </row>
    <row r="16" customFormat="false" ht="15" hidden="false" customHeight="true" outlineLevel="0" collapsed="false">
      <c r="A16" s="6" t="s">
        <v>15</v>
      </c>
      <c r="B16" s="12" t="n">
        <f aca="false">(1+B9)/(1+B10)-1</f>
        <v>0.0439024390243905</v>
      </c>
    </row>
    <row r="17" customFormat="false" ht="15" hidden="false" customHeight="true" outlineLevel="0" collapsed="false">
      <c r="A17" s="6" t="s">
        <v>16</v>
      </c>
      <c r="B17" s="12" t="n">
        <f aca="false">(1+B9*(1-B11))/(1+B10)-1</f>
        <v>0.0312682926829269</v>
      </c>
    </row>
    <row r="19" customFormat="false" ht="15" hidden="false" customHeight="true" outlineLevel="0" collapsed="false">
      <c r="A19" s="4" t="s">
        <v>17</v>
      </c>
      <c r="B19" s="5"/>
      <c r="C19" s="5"/>
    </row>
    <row r="20" customFormat="false" ht="15" hidden="false" customHeight="true" outlineLevel="0" collapsed="false">
      <c r="A20" s="6" t="s">
        <v>18</v>
      </c>
      <c r="B20" s="13" t="n">
        <f aca="false">B8*(1+B9)^B14</f>
        <v>4492337.3517621</v>
      </c>
    </row>
    <row r="21" customFormat="false" ht="15" hidden="false" customHeight="true" outlineLevel="0" collapsed="false">
      <c r="A21" s="6" t="s">
        <v>19</v>
      </c>
      <c r="B21" s="13" t="n">
        <f aca="false">B8*(1+B16)^B14</f>
        <v>1673084.00177772</v>
      </c>
    </row>
    <row r="22" customFormat="false" ht="15" hidden="false" customHeight="true" outlineLevel="0" collapsed="false">
      <c r="A22" s="6" t="s">
        <v>20</v>
      </c>
      <c r="B22" s="13" t="n">
        <f aca="false">(B20-B8)*B11</f>
        <v>775582.410075988</v>
      </c>
    </row>
    <row r="23" customFormat="false" ht="15" hidden="false" customHeight="true" outlineLevel="0" collapsed="false">
      <c r="A23" s="6" t="s">
        <v>21</v>
      </c>
      <c r="B23" s="13" t="n">
        <f aca="false">B20-(B20-B8)*B11</f>
        <v>3716754.94168611</v>
      </c>
    </row>
    <row r="24" customFormat="false" ht="15" hidden="false" customHeight="true" outlineLevel="0" collapsed="false">
      <c r="A24" s="6" t="s">
        <v>22</v>
      </c>
      <c r="B24" s="13" t="n">
        <f aca="false">B23/(1+B10)^B14</f>
        <v>1384233.36106406</v>
      </c>
    </row>
    <row r="26" customFormat="false" ht="15" hidden="false" customHeight="true" outlineLevel="0" collapsed="false">
      <c r="A26" s="4" t="s">
        <v>23</v>
      </c>
      <c r="B26" s="5"/>
      <c r="C26" s="5"/>
    </row>
    <row r="27" customFormat="false" ht="15" hidden="false" customHeight="true" outlineLevel="0" collapsed="false">
      <c r="A27" s="6" t="s">
        <v>24</v>
      </c>
      <c r="B27" s="13" t="n">
        <f aca="false">B21*((1+B16)^(1/12)-1)/(1-(1+B16)^(-B15))</f>
        <v>9114.68289261711</v>
      </c>
    </row>
    <row r="28" customFormat="false" ht="15" hidden="false" customHeight="true" outlineLevel="0" collapsed="false">
      <c r="A28" s="14" t="s">
        <v>25</v>
      </c>
      <c r="B28" s="15" t="n">
        <f aca="false">B24*((1+B17)^(1/12)-1)/(1-(1+B17)^(-B15))</f>
        <v>6624.02694265949</v>
      </c>
    </row>
    <row r="29" customFormat="false" ht="15" hidden="false" customHeight="true" outlineLevel="0" collapsed="false">
      <c r="A29" s="6" t="s">
        <v>26</v>
      </c>
      <c r="B29" s="13" t="n">
        <f aca="false">B28*12</f>
        <v>79488.3233119139</v>
      </c>
    </row>
    <row r="30" customFormat="false" ht="15" hidden="false" customHeight="true" outlineLevel="0" collapsed="false">
      <c r="A30" s="6" t="s">
        <v>27</v>
      </c>
      <c r="B30" s="13" t="n">
        <f aca="false">B28*(1+B10)^B14</f>
        <v>17785.9352082558</v>
      </c>
    </row>
    <row r="32" customFormat="false" ht="15" hidden="false" customHeight="true" outlineLevel="0" collapsed="false">
      <c r="A32" s="16" t="s">
        <v>28</v>
      </c>
      <c r="B32" s="17"/>
      <c r="C32" s="17"/>
    </row>
    <row r="33" customFormat="false" ht="15" hidden="false" customHeight="true" outlineLevel="0" collapsed="false">
      <c r="A33" s="18" t="s">
        <v>29</v>
      </c>
      <c r="B33" s="19" t="n">
        <f aca="false">B28/B8*1000</f>
        <v>22.080089808865</v>
      </c>
      <c r="C33" s="10" t="s">
        <v>30</v>
      </c>
    </row>
    <row r="34" customFormat="false" ht="15" hidden="false" customHeight="true" outlineLevel="0" collapsed="false">
      <c r="A34" s="6" t="s">
        <v>31</v>
      </c>
      <c r="B34" s="20" t="n">
        <f aca="false">B27/B8*1000</f>
        <v>30.3822763087237</v>
      </c>
    </row>
    <row r="35" customFormat="false" ht="15" hidden="false" customHeight="true" outlineLevel="0" collapsed="false">
      <c r="A35" s="6" t="s">
        <v>32</v>
      </c>
      <c r="B35" s="13" t="n">
        <f aca="false">B8/B28*1000</f>
        <v>45289.6708598761</v>
      </c>
    </row>
    <row r="37" customFormat="false" ht="15" hidden="false" customHeight="true" outlineLevel="0" collapsed="false">
      <c r="A37" s="21" t="s">
        <v>33</v>
      </c>
    </row>
    <row r="38" customFormat="false" ht="15" hidden="false" customHeight="true" outlineLevel="0" collapsed="false">
      <c r="A38" s="22" t="s">
        <v>34</v>
      </c>
    </row>
    <row r="39" customFormat="false" ht="15" hidden="false" customHeight="true" outlineLevel="0" collapsed="false">
      <c r="A39" s="22" t="s">
        <v>35</v>
      </c>
    </row>
    <row r="40" customFormat="false" ht="15" hidden="false" customHeight="true" outlineLevel="0" collapsed="false">
      <c r="A40" s="22" t="s">
        <v>36</v>
      </c>
    </row>
    <row r="41" customFormat="false" ht="15" hidden="false" customHeight="true" outlineLevel="0" collapsed="false">
      <c r="A41" s="22" t="s">
        <v>37</v>
      </c>
    </row>
    <row r="42" customFormat="false" ht="15" hidden="false" customHeight="true" outlineLevel="0" collapsed="false">
      <c r="A42" s="22" t="s">
        <v>38</v>
      </c>
    </row>
    <row r="43" customFormat="false" ht="15" hidden="false" customHeight="true" outlineLevel="0" collapsed="false">
      <c r="A43" s="2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23" t="s">
        <v>40</v>
      </c>
    </row>
    <row r="2" customFormat="false" ht="15" hidden="false" customHeight="false" outlineLevel="0" collapsed="false">
      <c r="A2" s="24" t="s">
        <v>41</v>
      </c>
    </row>
    <row r="4" customFormat="false" ht="15" hidden="false" customHeight="false" outlineLevel="0" collapsed="false">
      <c r="A4" s="25" t="s">
        <v>42</v>
      </c>
      <c r="B4" s="25"/>
      <c r="C4" s="25"/>
      <c r="D4" s="25"/>
    </row>
    <row r="5" customFormat="false" ht="15" hidden="false" customHeight="false" outlineLevel="0" collapsed="false">
      <c r="A5" s="26" t="s">
        <v>43</v>
      </c>
      <c r="B5" s="27" t="n">
        <v>300000</v>
      </c>
      <c r="C5" s="28" t="s">
        <v>44</v>
      </c>
      <c r="D5" s="29" t="n">
        <f aca="false">Modell!B9</f>
        <v>0.07</v>
      </c>
    </row>
    <row r="6" customFormat="false" ht="15" hidden="false" customHeight="false" outlineLevel="0" collapsed="false">
      <c r="A6" s="26" t="s">
        <v>4</v>
      </c>
      <c r="B6" s="30" t="n">
        <v>65</v>
      </c>
      <c r="C6" s="28" t="s">
        <v>45</v>
      </c>
      <c r="D6" s="29" t="n">
        <f aca="false">Modell!B10</f>
        <v>0.025</v>
      </c>
    </row>
    <row r="7" customFormat="false" ht="15" hidden="false" customHeight="false" outlineLevel="0" collapsed="false">
      <c r="A7" s="26" t="s">
        <v>46</v>
      </c>
      <c r="B7" s="31" t="n">
        <f aca="false">Modell!B5</f>
        <v>25</v>
      </c>
      <c r="C7" s="28" t="s">
        <v>47</v>
      </c>
      <c r="D7" s="29" t="n">
        <f aca="false">Modell!B11</f>
        <v>0.185</v>
      </c>
    </row>
    <row r="8" customFormat="false" ht="15" hidden="false" customHeight="false" outlineLevel="0" collapsed="false">
      <c r="A8" s="26" t="s">
        <v>48</v>
      </c>
      <c r="B8" s="31" t="n">
        <f aca="false">Modell!B7</f>
        <v>90</v>
      </c>
    </row>
    <row r="9" customFormat="false" ht="15" hidden="false" customHeight="false" outlineLevel="0" collapsed="false">
      <c r="A9" s="26" t="s">
        <v>49</v>
      </c>
      <c r="B9" s="32" t="n">
        <f aca="false">B6-B7</f>
        <v>40</v>
      </c>
    </row>
    <row r="10" customFormat="false" ht="15" hidden="false" customHeight="false" outlineLevel="0" collapsed="false">
      <c r="A10" s="26" t="s">
        <v>50</v>
      </c>
      <c r="B10" s="32" t="n">
        <f aca="false">B8-B6</f>
        <v>25</v>
      </c>
    </row>
    <row r="11" customFormat="false" ht="15" hidden="false" customHeight="false" outlineLevel="0" collapsed="false">
      <c r="A11" s="26" t="s">
        <v>51</v>
      </c>
      <c r="B11" s="33" t="n">
        <f aca="false">B5*(1+((1+Modell!B9)^B9-1)*(1-Modell!B11))/(1+Modell!B10)^B9</f>
        <v>1384233.36106406</v>
      </c>
    </row>
    <row r="12" customFormat="false" ht="15" hidden="false" customHeight="false" outlineLevel="0" collapsed="false">
      <c r="A12" s="34" t="s">
        <v>52</v>
      </c>
      <c r="B12" s="35" t="n">
        <f aca="false">B11*((1+Modell!B17)^(1/12)-1)/(1-(1+Modell!B17)^(-B10))</f>
        <v>6624.02694265949</v>
      </c>
    </row>
    <row r="13" customFormat="false" ht="15" hidden="false" customHeight="false" outlineLevel="0" collapsed="false">
      <c r="A13" s="26" t="s">
        <v>53</v>
      </c>
      <c r="B13" s="33" t="n">
        <f aca="false">B5*(1+Modell!B16)^B9*((1+Modell!B16)^(1/12)-1)/(1-(1+Modell!B16)^(-B10))</f>
        <v>9114.68289261711</v>
      </c>
    </row>
    <row r="14" customFormat="false" ht="15" hidden="false" customHeight="false" outlineLevel="0" collapsed="false">
      <c r="A14" s="36" t="s">
        <v>54</v>
      </c>
      <c r="B14" s="37" t="n">
        <f aca="false">B12/B5*1000</f>
        <v>22.080089808865</v>
      </c>
    </row>
    <row r="16" customFormat="false" ht="15" hidden="false" customHeight="false" outlineLevel="0" collapsed="false">
      <c r="A16" s="25" t="s">
        <v>55</v>
      </c>
      <c r="B16" s="25"/>
      <c r="C16" s="25"/>
      <c r="D16" s="25"/>
    </row>
    <row r="17" customFormat="false" ht="15" hidden="false" customHeight="false" outlineLevel="0" collapsed="false">
      <c r="A17" s="38" t="s">
        <v>56</v>
      </c>
      <c r="B17" s="39" t="n">
        <v>60</v>
      </c>
      <c r="C17" s="39" t="n">
        <v>65</v>
      </c>
      <c r="D17" s="39" t="n">
        <v>70</v>
      </c>
    </row>
    <row r="18" customFormat="false" ht="15" hidden="false" customHeight="false" outlineLevel="0" collapsed="false">
      <c r="A18" s="40" t="n">
        <v>25000</v>
      </c>
      <c r="B18" s="33" t="n">
        <f aca="false">$A18*(1+((1+Modell!$B$9)^(B$17-Modell!$B$5)-1)*(1-Modell!$B$11))/(1+Modell!$B$10)^(B$17-Modell!$B$5)*((1+Modell!$B$17)^(1/12)-1)/(1-(1+Modell!$B$17)^(-(Modell!$B$7-B$17)))</f>
        <v>398.869065933232</v>
      </c>
      <c r="C18" s="33" t="n">
        <f aca="false">$A18*(1+((1+Modell!$B$9)^(C$17-Modell!$B$5)-1)*(1-Modell!$B$11))/(1+Modell!$B$10)^(C$17-Modell!$B$5)*((1+Modell!$B$17)^(1/12)-1)/(1-(1+Modell!$B$17)^(-(Modell!$B$7-C$17)))</f>
        <v>552.002245221624</v>
      </c>
      <c r="D18" s="33" t="n">
        <f aca="false">$A18*(1+((1+Modell!$B$9)^(D$17-Modell!$B$5)-1)*(1-Modell!$B$11))/(1+Modell!$B$10)^(D$17-Modell!$B$5)*((1+Modell!$B$17)^(1/12)-1)/(1-(1+Modell!$B$17)^(-(Modell!$B$7-D$17)))</f>
        <v>795.58173627859</v>
      </c>
    </row>
    <row r="19" customFormat="false" ht="15" hidden="false" customHeight="false" outlineLevel="0" collapsed="false">
      <c r="A19" s="40" t="n">
        <v>50000</v>
      </c>
      <c r="B19" s="33" t="n">
        <f aca="false">$A19*(1+((1+Modell!$B$9)^(B$17-Modell!$B$5)-1)*(1-Modell!$B$11))/(1+Modell!$B$10)^(B$17-Modell!$B$5)*((1+Modell!$B$17)^(1/12)-1)/(1-(1+Modell!$B$17)^(-(Modell!$B$7-B$17)))</f>
        <v>797.738131866464</v>
      </c>
      <c r="C19" s="33" t="n">
        <f aca="false">$A19*(1+((1+Modell!$B$9)^(C$17-Modell!$B$5)-1)*(1-Modell!$B$11))/(1+Modell!$B$10)^(C$17-Modell!$B$5)*((1+Modell!$B$17)^(1/12)-1)/(1-(1+Modell!$B$17)^(-(Modell!$B$7-C$17)))</f>
        <v>1104.00449044325</v>
      </c>
      <c r="D19" s="33" t="n">
        <f aca="false">$A19*(1+((1+Modell!$B$9)^(D$17-Modell!$B$5)-1)*(1-Modell!$B$11))/(1+Modell!$B$10)^(D$17-Modell!$B$5)*((1+Modell!$B$17)^(1/12)-1)/(1-(1+Modell!$B$17)^(-(Modell!$B$7-D$17)))</f>
        <v>1591.16347255718</v>
      </c>
    </row>
    <row r="20" customFormat="false" ht="15" hidden="false" customHeight="false" outlineLevel="0" collapsed="false">
      <c r="A20" s="40" t="n">
        <v>100000</v>
      </c>
      <c r="B20" s="33" t="n">
        <f aca="false">$A20*(1+((1+Modell!$B$9)^(B$17-Modell!$B$5)-1)*(1-Modell!$B$11))/(1+Modell!$B$10)^(B$17-Modell!$B$5)*((1+Modell!$B$17)^(1/12)-1)/(1-(1+Modell!$B$17)^(-(Modell!$B$7-B$17)))</f>
        <v>1595.47626373293</v>
      </c>
      <c r="C20" s="33" t="n">
        <f aca="false">$A20*(1+((1+Modell!$B$9)^(C$17-Modell!$B$5)-1)*(1-Modell!$B$11))/(1+Modell!$B$10)^(C$17-Modell!$B$5)*((1+Modell!$B$17)^(1/12)-1)/(1-(1+Modell!$B$17)^(-(Modell!$B$7-C$17)))</f>
        <v>2208.0089808865</v>
      </c>
      <c r="D20" s="33" t="n">
        <f aca="false">$A20*(1+((1+Modell!$B$9)^(D$17-Modell!$B$5)-1)*(1-Modell!$B$11))/(1+Modell!$B$10)^(D$17-Modell!$B$5)*((1+Modell!$B$17)^(1/12)-1)/(1-(1+Modell!$B$17)^(-(Modell!$B$7-D$17)))</f>
        <v>3182.32694511436</v>
      </c>
    </row>
    <row r="21" customFormat="false" ht="15" hidden="false" customHeight="false" outlineLevel="0" collapsed="false">
      <c r="A21" s="40" t="n">
        <v>150000</v>
      </c>
      <c r="B21" s="33" t="n">
        <f aca="false">$A21*(1+((1+Modell!$B$9)^(B$17-Modell!$B$5)-1)*(1-Modell!$B$11))/(1+Modell!$B$10)^(B$17-Modell!$B$5)*((1+Modell!$B$17)^(1/12)-1)/(1-(1+Modell!$B$17)^(-(Modell!$B$7-B$17)))</f>
        <v>2393.21439559939</v>
      </c>
      <c r="C21" s="33" t="n">
        <f aca="false">$A21*(1+((1+Modell!$B$9)^(C$17-Modell!$B$5)-1)*(1-Modell!$B$11))/(1+Modell!$B$10)^(C$17-Modell!$B$5)*((1+Modell!$B$17)^(1/12)-1)/(1-(1+Modell!$B$17)^(-(Modell!$B$7-C$17)))</f>
        <v>3312.01347132975</v>
      </c>
      <c r="D21" s="33" t="n">
        <f aca="false">$A21*(1+((1+Modell!$B$9)^(D$17-Modell!$B$5)-1)*(1-Modell!$B$11))/(1+Modell!$B$10)^(D$17-Modell!$B$5)*((1+Modell!$B$17)^(1/12)-1)/(1-(1+Modell!$B$17)^(-(Modell!$B$7-D$17)))</f>
        <v>4773.49041767154</v>
      </c>
    </row>
    <row r="22" customFormat="false" ht="15" hidden="false" customHeight="false" outlineLevel="0" collapsed="false">
      <c r="A22" s="40" t="n">
        <v>200000</v>
      </c>
      <c r="B22" s="33" t="n">
        <f aca="false">$A22*(1+((1+Modell!$B$9)^(B$17-Modell!$B$5)-1)*(1-Modell!$B$11))/(1+Modell!$B$10)^(B$17-Modell!$B$5)*((1+Modell!$B$17)^(1/12)-1)/(1-(1+Modell!$B$17)^(-(Modell!$B$7-B$17)))</f>
        <v>3190.95252746585</v>
      </c>
      <c r="C22" s="33" t="n">
        <f aca="false">$A22*(1+((1+Modell!$B$9)^(C$17-Modell!$B$5)-1)*(1-Modell!$B$11))/(1+Modell!$B$10)^(C$17-Modell!$B$5)*((1+Modell!$B$17)^(1/12)-1)/(1-(1+Modell!$B$17)^(-(Modell!$B$7-C$17)))</f>
        <v>4416.017961773</v>
      </c>
      <c r="D22" s="33" t="n">
        <f aca="false">$A22*(1+((1+Modell!$B$9)^(D$17-Modell!$B$5)-1)*(1-Modell!$B$11))/(1+Modell!$B$10)^(D$17-Modell!$B$5)*((1+Modell!$B$17)^(1/12)-1)/(1-(1+Modell!$B$17)^(-(Modell!$B$7-D$17)))</f>
        <v>6364.65389022872</v>
      </c>
    </row>
    <row r="23" customFormat="false" ht="15" hidden="false" customHeight="false" outlineLevel="0" collapsed="false">
      <c r="A23" s="40" t="n">
        <v>300000</v>
      </c>
      <c r="B23" s="33" t="n">
        <f aca="false">$A23*(1+((1+Modell!$B$9)^(B$17-Modell!$B$5)-1)*(1-Modell!$B$11))/(1+Modell!$B$10)^(B$17-Modell!$B$5)*((1+Modell!$B$17)^(1/12)-1)/(1-(1+Modell!$B$17)^(-(Modell!$B$7-B$17)))</f>
        <v>4786.42879119878</v>
      </c>
      <c r="C23" s="33" t="n">
        <f aca="false">$A23*(1+((1+Modell!$B$9)^(C$17-Modell!$B$5)-1)*(1-Modell!$B$11))/(1+Modell!$B$10)^(C$17-Modell!$B$5)*((1+Modell!$B$17)^(1/12)-1)/(1-(1+Modell!$B$17)^(-(Modell!$B$7-C$17)))</f>
        <v>6624.02694265949</v>
      </c>
      <c r="D23" s="33" t="n">
        <f aca="false">$A23*(1+((1+Modell!$B$9)^(D$17-Modell!$B$5)-1)*(1-Modell!$B$11))/(1+Modell!$B$10)^(D$17-Modell!$B$5)*((1+Modell!$B$17)^(1/12)-1)/(1-(1+Modell!$B$17)^(-(Modell!$B$7-D$17)))</f>
        <v>9546.98083534307</v>
      </c>
    </row>
    <row r="24" customFormat="false" ht="15" hidden="false" customHeight="false" outlineLevel="0" collapsed="false">
      <c r="A24" s="40" t="n">
        <v>500000</v>
      </c>
      <c r="B24" s="33" t="n">
        <f aca="false">$A24*(1+((1+Modell!$B$9)^(B$17-Modell!$B$5)-1)*(1-Modell!$B$11))/(1+Modell!$B$10)^(B$17-Modell!$B$5)*((1+Modell!$B$17)^(1/12)-1)/(1-(1+Modell!$B$17)^(-(Modell!$B$7-B$17)))</f>
        <v>7977.38131866464</v>
      </c>
      <c r="C24" s="33" t="n">
        <f aca="false">$A24*(1+((1+Modell!$B$9)^(C$17-Modell!$B$5)-1)*(1-Modell!$B$11))/(1+Modell!$B$10)^(C$17-Modell!$B$5)*((1+Modell!$B$17)^(1/12)-1)/(1-(1+Modell!$B$17)^(-(Modell!$B$7-C$17)))</f>
        <v>11040.0449044325</v>
      </c>
      <c r="D24" s="33" t="n">
        <f aca="false">$A24*(1+((1+Modell!$B$9)^(D$17-Modell!$B$5)-1)*(1-Modell!$B$11))/(1+Modell!$B$10)^(D$17-Modell!$B$5)*((1+Modell!$B$17)^(1/12)-1)/(1-(1+Modell!$B$17)^(-(Modell!$B$7-D$17)))</f>
        <v>15911.6347255718</v>
      </c>
    </row>
    <row r="25" customFormat="false" ht="15" hidden="false" customHeight="false" outlineLevel="0" collapsed="false">
      <c r="A25" s="40" t="n">
        <v>750000</v>
      </c>
      <c r="B25" s="33" t="n">
        <f aca="false">$A25*(1+((1+Modell!$B$9)^(B$17-Modell!$B$5)-1)*(1-Modell!$B$11))/(1+Modell!$B$10)^(B$17-Modell!$B$5)*((1+Modell!$B$17)^(1/12)-1)/(1-(1+Modell!$B$17)^(-(Modell!$B$7-B$17)))</f>
        <v>11966.071977997</v>
      </c>
      <c r="C25" s="33" t="n">
        <f aca="false">$A25*(1+((1+Modell!$B$9)^(C$17-Modell!$B$5)-1)*(1-Modell!$B$11))/(1+Modell!$B$10)^(C$17-Modell!$B$5)*((1+Modell!$B$17)^(1/12)-1)/(1-(1+Modell!$B$17)^(-(Modell!$B$7-C$17)))</f>
        <v>16560.0673566487</v>
      </c>
      <c r="D25" s="33" t="n">
        <f aca="false">$A25*(1+((1+Modell!$B$9)^(D$17-Modell!$B$5)-1)*(1-Modell!$B$11))/(1+Modell!$B$10)^(D$17-Modell!$B$5)*((1+Modell!$B$17)^(1/12)-1)/(1-(1+Modell!$B$17)^(-(Modell!$B$7-D$17)))</f>
        <v>23867.4520883577</v>
      </c>
    </row>
    <row r="26" customFormat="false" ht="15" hidden="false" customHeight="false" outlineLevel="0" collapsed="false">
      <c r="A26" s="40" t="n">
        <v>1000000</v>
      </c>
      <c r="B26" s="33" t="n">
        <f aca="false">$A26*(1+((1+Modell!$B$9)^(B$17-Modell!$B$5)-1)*(1-Modell!$B$11))/(1+Modell!$B$10)^(B$17-Modell!$B$5)*((1+Modell!$B$17)^(1/12)-1)/(1-(1+Modell!$B$17)^(-(Modell!$B$7-B$17)))</f>
        <v>15954.7626373293</v>
      </c>
      <c r="C26" s="33" t="n">
        <f aca="false">$A26*(1+((1+Modell!$B$9)^(C$17-Modell!$B$5)-1)*(1-Modell!$B$11))/(1+Modell!$B$10)^(C$17-Modell!$B$5)*((1+Modell!$B$17)^(1/12)-1)/(1-(1+Modell!$B$17)^(-(Modell!$B$7-C$17)))</f>
        <v>22080.089808865</v>
      </c>
      <c r="D26" s="33" t="n">
        <f aca="false">$A26*(1+((1+Modell!$B$9)^(D$17-Modell!$B$5)-1)*(1-Modell!$B$11))/(1+Modell!$B$10)^(D$17-Modell!$B$5)*((1+Modell!$B$17)^(1/12)-1)/(1-(1+Modell!$B$17)^(-(Modell!$B$7-D$17)))</f>
        <v>31823.2694511436</v>
      </c>
    </row>
    <row r="27" customFormat="false" ht="15" hidden="false" customHeight="false" outlineLevel="0" collapsed="false">
      <c r="A27" s="40" t="n">
        <v>1500000</v>
      </c>
      <c r="B27" s="33" t="n">
        <f aca="false">$A27*(1+((1+Modell!$B$9)^(B$17-Modell!$B$5)-1)*(1-Modell!$B$11))/(1+Modell!$B$10)^(B$17-Modell!$B$5)*((1+Modell!$B$17)^(1/12)-1)/(1-(1+Modell!$B$17)^(-(Modell!$B$7-B$17)))</f>
        <v>23932.1439559939</v>
      </c>
      <c r="C27" s="33" t="n">
        <f aca="false">$A27*(1+((1+Modell!$B$9)^(C$17-Modell!$B$5)-1)*(1-Modell!$B$11))/(1+Modell!$B$10)^(C$17-Modell!$B$5)*((1+Modell!$B$17)^(1/12)-1)/(1-(1+Modell!$B$17)^(-(Modell!$B$7-C$17)))</f>
        <v>33120.1347132975</v>
      </c>
      <c r="D27" s="33" t="n">
        <f aca="false">$A27*(1+((1+Modell!$B$9)^(D$17-Modell!$B$5)-1)*(1-Modell!$B$11))/(1+Modell!$B$10)^(D$17-Modell!$B$5)*((1+Modell!$B$17)^(1/12)-1)/(1-(1+Modell!$B$17)^(-(Modell!$B$7-D$17)))</f>
        <v>47734.9041767154</v>
      </c>
    </row>
    <row r="28" customFormat="false" ht="15" hidden="false" customHeight="false" outlineLevel="0" collapsed="false">
      <c r="A28" s="40" t="n">
        <v>2000000</v>
      </c>
      <c r="B28" s="33" t="n">
        <f aca="false">$A28*(1+((1+Modell!$B$9)^(B$17-Modell!$B$5)-1)*(1-Modell!$B$11))/(1+Modell!$B$10)^(B$17-Modell!$B$5)*((1+Modell!$B$17)^(1/12)-1)/(1-(1+Modell!$B$17)^(-(Modell!$B$7-B$17)))</f>
        <v>31909.5252746585</v>
      </c>
      <c r="C28" s="33" t="n">
        <f aca="false">$A28*(1+((1+Modell!$B$9)^(C$17-Modell!$B$5)-1)*(1-Modell!$B$11))/(1+Modell!$B$10)^(C$17-Modell!$B$5)*((1+Modell!$B$17)^(1/12)-1)/(1-(1+Modell!$B$17)^(-(Modell!$B$7-C$17)))</f>
        <v>44160.17961773</v>
      </c>
      <c r="D28" s="33" t="n">
        <f aca="false">$A28*(1+((1+Modell!$B$9)^(D$17-Modell!$B$5)-1)*(1-Modell!$B$11))/(1+Modell!$B$10)^(D$17-Modell!$B$5)*((1+Modell!$B$17)^(1/12)-1)/(1-(1+Modell!$B$17)^(-(Modell!$B$7-D$17)))</f>
        <v>63646.5389022872</v>
      </c>
    </row>
    <row r="30" customFormat="false" ht="15" hidden="false" customHeight="false" outlineLevel="0" collapsed="false">
      <c r="A30" s="25" t="s">
        <v>57</v>
      </c>
      <c r="B30" s="25"/>
      <c r="C30" s="25"/>
      <c r="D30" s="25"/>
    </row>
    <row r="31" customFormat="false" ht="15" hidden="false" customHeight="false" outlineLevel="0" collapsed="false">
      <c r="A31" s="38" t="s">
        <v>58</v>
      </c>
      <c r="B31" s="39" t="n">
        <v>60</v>
      </c>
      <c r="C31" s="39" t="n">
        <v>65</v>
      </c>
      <c r="D31" s="39" t="n">
        <v>70</v>
      </c>
    </row>
    <row r="32" customFormat="false" ht="15" hidden="false" customHeight="false" outlineLevel="0" collapsed="false">
      <c r="A32" s="40" t="n">
        <v>1000</v>
      </c>
      <c r="B32" s="33" t="n">
        <f aca="false">$A32/((1+((1+Modell!$B$9)^(B$31-Modell!$B$5)-1)*(1-Modell!$B$11))/(1+Modell!$B$10)^(B$31-Modell!$B$5)*((1+Modell!$B$17)^(1/12)-1)/(1-(1+Modell!$B$17)^(-(Modell!$B$7-B$31))))</f>
        <v>62677.2094785231</v>
      </c>
      <c r="C32" s="33" t="n">
        <f aca="false">$A32/((1+((1+Modell!$B$9)^(C$31-Modell!$B$5)-1)*(1-Modell!$B$11))/(1+Modell!$B$10)^(C$31-Modell!$B$5)*((1+Modell!$B$17)^(1/12)-1)/(1-(1+Modell!$B$17)^(-(Modell!$B$7-C$31))))</f>
        <v>45289.6708598761</v>
      </c>
      <c r="D32" s="33" t="n">
        <f aca="false">$A32/((1+((1+Modell!$B$9)^(D$31-Modell!$B$5)-1)*(1-Modell!$B$11))/(1+Modell!$B$10)^(D$31-Modell!$B$5)*((1+Modell!$B$17)^(1/12)-1)/(1-(1+Modell!$B$17)^(-(Modell!$B$7-D$31))))</f>
        <v>31423.5468965639</v>
      </c>
    </row>
    <row r="33" customFormat="false" ht="15" hidden="false" customHeight="false" outlineLevel="0" collapsed="false">
      <c r="A33" s="40" t="n">
        <v>2000</v>
      </c>
      <c r="B33" s="33" t="n">
        <f aca="false">$A33/((1+((1+Modell!$B$9)^(B$31-Modell!$B$5)-1)*(1-Modell!$B$11))/(1+Modell!$B$10)^(B$31-Modell!$B$5)*((1+Modell!$B$17)^(1/12)-1)/(1-(1+Modell!$B$17)^(-(Modell!$B$7-B$31))))</f>
        <v>125354.418957046</v>
      </c>
      <c r="C33" s="33" t="n">
        <f aca="false">$A33/((1+((1+Modell!$B$9)^(C$31-Modell!$B$5)-1)*(1-Modell!$B$11))/(1+Modell!$B$10)^(C$31-Modell!$B$5)*((1+Modell!$B$17)^(1/12)-1)/(1-(1+Modell!$B$17)^(-(Modell!$B$7-C$31))))</f>
        <v>90579.3417197523</v>
      </c>
      <c r="D33" s="33" t="n">
        <f aca="false">$A33/((1+((1+Modell!$B$9)^(D$31-Modell!$B$5)-1)*(1-Modell!$B$11))/(1+Modell!$B$10)^(D$31-Modell!$B$5)*((1+Modell!$B$17)^(1/12)-1)/(1-(1+Modell!$B$17)^(-(Modell!$B$7-D$31))))</f>
        <v>62847.0937931278</v>
      </c>
    </row>
    <row r="34" customFormat="false" ht="15" hidden="false" customHeight="false" outlineLevel="0" collapsed="false">
      <c r="A34" s="40" t="n">
        <v>3000</v>
      </c>
      <c r="B34" s="33" t="n">
        <f aca="false">$A34/((1+((1+Modell!$B$9)^(B$31-Modell!$B$5)-1)*(1-Modell!$B$11))/(1+Modell!$B$10)^(B$31-Modell!$B$5)*((1+Modell!$B$17)^(1/12)-1)/(1-(1+Modell!$B$17)^(-(Modell!$B$7-B$31))))</f>
        <v>188031.628435569</v>
      </c>
      <c r="C34" s="33" t="n">
        <f aca="false">$A34/((1+((1+Modell!$B$9)^(C$31-Modell!$B$5)-1)*(1-Modell!$B$11))/(1+Modell!$B$10)^(C$31-Modell!$B$5)*((1+Modell!$B$17)^(1/12)-1)/(1-(1+Modell!$B$17)^(-(Modell!$B$7-C$31))))</f>
        <v>135869.012579628</v>
      </c>
      <c r="D34" s="33" t="n">
        <f aca="false">$A34/((1+((1+Modell!$B$9)^(D$31-Modell!$B$5)-1)*(1-Modell!$B$11))/(1+Modell!$B$10)^(D$31-Modell!$B$5)*((1+Modell!$B$17)^(1/12)-1)/(1-(1+Modell!$B$17)^(-(Modell!$B$7-D$31))))</f>
        <v>94270.6406896918</v>
      </c>
    </row>
    <row r="35" customFormat="false" ht="15" hidden="false" customHeight="false" outlineLevel="0" collapsed="false">
      <c r="A35" s="40" t="n">
        <v>5000</v>
      </c>
      <c r="B35" s="33" t="n">
        <f aca="false">$A35/((1+((1+Modell!$B$9)^(B$31-Modell!$B$5)-1)*(1-Modell!$B$11))/(1+Modell!$B$10)^(B$31-Modell!$B$5)*((1+Modell!$B$17)^(1/12)-1)/(1-(1+Modell!$B$17)^(-(Modell!$B$7-B$31))))</f>
        <v>313386.047392615</v>
      </c>
      <c r="C35" s="33" t="n">
        <f aca="false">$A35/((1+((1+Modell!$B$9)^(C$31-Modell!$B$5)-1)*(1-Modell!$B$11))/(1+Modell!$B$10)^(C$31-Modell!$B$5)*((1+Modell!$B$17)^(1/12)-1)/(1-(1+Modell!$B$17)^(-(Modell!$B$7-C$31))))</f>
        <v>226448.354299381</v>
      </c>
      <c r="D35" s="33" t="n">
        <f aca="false">$A35/((1+((1+Modell!$B$9)^(D$31-Modell!$B$5)-1)*(1-Modell!$B$11))/(1+Modell!$B$10)^(D$31-Modell!$B$5)*((1+Modell!$B$17)^(1/12)-1)/(1-(1+Modell!$B$17)^(-(Modell!$B$7-D$31))))</f>
        <v>157117.73448282</v>
      </c>
    </row>
    <row r="37" customFormat="false" ht="15" hidden="false" customHeight="false" outlineLevel="0" collapsed="false">
      <c r="A37" s="41" t="s">
        <v>59</v>
      </c>
      <c r="B37" s="41"/>
      <c r="C37" s="41"/>
      <c r="D37" s="41"/>
      <c r="E37" s="41"/>
    </row>
    <row r="38" customFormat="false" ht="15" hidden="false" customHeight="false" outlineLevel="0" collapsed="false">
      <c r="A38" s="42" t="s">
        <v>60</v>
      </c>
      <c r="B38" s="42"/>
      <c r="C38" s="42"/>
      <c r="D38" s="42"/>
      <c r="E38" s="42"/>
    </row>
    <row r="39" customFormat="false" ht="15" hidden="false" customHeight="false" outlineLevel="0" collapsed="false">
      <c r="A39" s="42" t="s">
        <v>61</v>
      </c>
      <c r="B39" s="42"/>
      <c r="C39" s="42"/>
      <c r="D39" s="42"/>
      <c r="E39" s="42"/>
    </row>
    <row r="40" customFormat="false" ht="15" hidden="false" customHeight="false" outlineLevel="0" collapsed="false">
      <c r="A40" s="42" t="s">
        <v>62</v>
      </c>
      <c r="B40" s="42"/>
      <c r="C40" s="42"/>
      <c r="D40" s="42"/>
      <c r="E40" s="42"/>
    </row>
    <row r="41" customFormat="false" ht="15" hidden="false" customHeight="false" outlineLevel="0" collapsed="false">
      <c r="A41" s="42" t="s">
        <v>63</v>
      </c>
      <c r="B41" s="42"/>
      <c r="C41" s="42"/>
      <c r="D41" s="42"/>
      <c r="E41" s="42"/>
    </row>
  </sheetData>
  <mergeCells count="8">
    <mergeCell ref="A4:D4"/>
    <mergeCell ref="A16:D16"/>
    <mergeCell ref="A30:D30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43" t="s">
        <v>64</v>
      </c>
    </row>
    <row r="2" customFormat="false" ht="15" hidden="false" customHeight="true" outlineLevel="0" collapsed="false">
      <c r="A2" s="3" t="s">
        <v>65</v>
      </c>
    </row>
    <row r="4" customFormat="false" ht="15" hidden="false" customHeight="true" outlineLevel="0" collapsed="false">
      <c r="A4" s="4" t="s">
        <v>66</v>
      </c>
      <c r="B4" s="5"/>
      <c r="C4" s="5"/>
    </row>
    <row r="5" customFormat="false" ht="15" hidden="false" customHeight="true" outlineLevel="0" collapsed="false">
      <c r="A5" s="6" t="s">
        <v>6</v>
      </c>
      <c r="B5" s="8" t="n">
        <v>300000</v>
      </c>
    </row>
    <row r="6" customFormat="false" ht="15" hidden="false" customHeight="true" outlineLevel="0" collapsed="false">
      <c r="A6" s="6" t="s">
        <v>67</v>
      </c>
      <c r="B6" s="9" t="n">
        <v>0.07</v>
      </c>
    </row>
    <row r="7" customFormat="false" ht="15" hidden="false" customHeight="true" outlineLevel="0" collapsed="false">
      <c r="A7" s="6" t="s">
        <v>9</v>
      </c>
      <c r="B7" s="9" t="n">
        <v>0.025</v>
      </c>
    </row>
    <row r="8" customFormat="false" ht="15" hidden="false" customHeight="true" outlineLevel="0" collapsed="false">
      <c r="A8" s="6" t="s">
        <v>68</v>
      </c>
      <c r="B8" s="9" t="n">
        <v>0.035</v>
      </c>
      <c r="C8" s="10" t="s">
        <v>69</v>
      </c>
    </row>
    <row r="9" customFormat="false" ht="15" hidden="false" customHeight="true" outlineLevel="0" collapsed="false">
      <c r="A9" s="6" t="s">
        <v>70</v>
      </c>
      <c r="B9" s="9" t="n">
        <v>0.185</v>
      </c>
    </row>
    <row r="11" customFormat="false" ht="15" hidden="false" customHeight="true" outlineLevel="0" collapsed="false">
      <c r="A11" s="6" t="s">
        <v>15</v>
      </c>
      <c r="B11" s="12" t="n">
        <f aca="false">(1+B6)/(1+B7)-1</f>
        <v>0.0439024390243905</v>
      </c>
    </row>
    <row r="12" customFormat="false" ht="15" hidden="false" customHeight="true" outlineLevel="0" collapsed="false">
      <c r="A12" s="6" t="s">
        <v>71</v>
      </c>
      <c r="B12" s="44" t="n">
        <f aca="false">B11-B8</f>
        <v>0.0089024390243905</v>
      </c>
      <c r="C12" s="10" t="s">
        <v>72</v>
      </c>
    </row>
    <row r="14" customFormat="false" ht="15" hidden="false" customHeight="true" outlineLevel="0" collapsed="false">
      <c r="A14" s="16" t="s">
        <v>73</v>
      </c>
      <c r="B14" s="17"/>
      <c r="C14" s="17"/>
      <c r="D14" s="17"/>
      <c r="E14" s="17"/>
    </row>
    <row r="15" customFormat="false" ht="39" hidden="false" customHeight="true" outlineLevel="0" collapsed="false">
      <c r="A15" s="45" t="s">
        <v>74</v>
      </c>
      <c r="B15" s="45" t="s">
        <v>75</v>
      </c>
      <c r="C15" s="45" t="s">
        <v>76</v>
      </c>
      <c r="D15" s="45" t="s">
        <v>77</v>
      </c>
      <c r="E15" s="45" t="s">
        <v>78</v>
      </c>
    </row>
    <row r="16" customFormat="false" ht="15" hidden="false" customHeight="true" outlineLevel="0" collapsed="false">
      <c r="A16" s="46" t="n">
        <v>5</v>
      </c>
      <c r="B16" s="13" t="n">
        <f aca="false">$B$5*((1+$B$6)/(1+$B$7))^A16</f>
        <v>371895.408232004</v>
      </c>
      <c r="C16" s="13" t="n">
        <f aca="false">B16*$B$8/12</f>
        <v>1084.69494067668</v>
      </c>
      <c r="D16" s="13" t="n">
        <f aca="false">C16*(1-$B$9)</f>
        <v>884.026376651492</v>
      </c>
      <c r="E16" s="47" t="n">
        <f aca="false">D16/$B$5*1000</f>
        <v>2.94675458883831</v>
      </c>
    </row>
    <row r="17" customFormat="false" ht="15" hidden="false" customHeight="true" outlineLevel="0" collapsed="false">
      <c r="A17" s="46" t="n">
        <v>10</v>
      </c>
      <c r="B17" s="13" t="n">
        <f aca="false">$B$5*((1+$B$6)/(1+$B$7))^A17</f>
        <v>461020.648880162</v>
      </c>
      <c r="C17" s="13" t="n">
        <f aca="false">B17*$B$8/12</f>
        <v>1344.64355923381</v>
      </c>
      <c r="D17" s="13" t="n">
        <f aca="false">C17*(1-$B$9)</f>
        <v>1095.88450077555</v>
      </c>
      <c r="E17" s="47" t="n">
        <f aca="false">D17/$B$5*1000</f>
        <v>3.65294833591851</v>
      </c>
    </row>
    <row r="18" customFormat="false" ht="15" hidden="false" customHeight="true" outlineLevel="0" collapsed="false">
      <c r="A18" s="46" t="n">
        <v>15</v>
      </c>
      <c r="B18" s="13" t="n">
        <f aca="false">$B$5*((1+$B$6)/(1+$B$7))^A18</f>
        <v>571504.874728903</v>
      </c>
      <c r="C18" s="13" t="n">
        <f aca="false">B18*$B$8/12</f>
        <v>1666.8892179593</v>
      </c>
      <c r="D18" s="13" t="n">
        <f aca="false">C18*(1-$B$9)</f>
        <v>1358.51471263683</v>
      </c>
      <c r="E18" s="47" t="n">
        <f aca="false">D18/$B$5*1000</f>
        <v>4.5283823754561</v>
      </c>
    </row>
    <row r="19" customFormat="false" ht="15" hidden="false" customHeight="true" outlineLevel="0" collapsed="false">
      <c r="A19" s="46" t="n">
        <v>20</v>
      </c>
      <c r="B19" s="13" t="n">
        <f aca="false">$B$5*((1+$B$6)/(1+$B$7))^A19</f>
        <v>708466.795646285</v>
      </c>
      <c r="C19" s="13" t="n">
        <f aca="false">B19*$B$8/12</f>
        <v>2066.36148730166</v>
      </c>
      <c r="D19" s="13" t="n">
        <f aca="false">C19*(1-$B$9)</f>
        <v>1684.08461215086</v>
      </c>
      <c r="E19" s="47" t="n">
        <f aca="false">D19/$B$5*1000</f>
        <v>5.61361537383619</v>
      </c>
    </row>
    <row r="20" customFormat="false" ht="15" hidden="false" customHeight="true" outlineLevel="0" collapsed="false">
      <c r="A20" s="46" t="n">
        <v>25</v>
      </c>
      <c r="B20" s="13" t="n">
        <f aca="false">$B$5*((1+$B$6)/(1+$B$7))^A20</f>
        <v>878251.827285648</v>
      </c>
      <c r="C20" s="13" t="n">
        <f aca="false">B20*$B$8/12</f>
        <v>2561.56782958314</v>
      </c>
      <c r="D20" s="13" t="n">
        <f aca="false">C20*(1-$B$9)</f>
        <v>2087.67778111026</v>
      </c>
      <c r="E20" s="47" t="n">
        <f aca="false">D20/$B$5*1000</f>
        <v>6.9589259370342</v>
      </c>
    </row>
    <row r="21" customFormat="false" ht="15" hidden="false" customHeight="true" outlineLevel="0" collapsed="false">
      <c r="A21" s="46" t="n">
        <v>30</v>
      </c>
      <c r="B21" s="13" t="n">
        <f aca="false">$B$5*((1+$B$6)/(1+$B$7))^A21</f>
        <v>1088726.07279633</v>
      </c>
      <c r="C21" s="13" t="n">
        <f aca="false">B21*$B$8/12</f>
        <v>3175.45104565597</v>
      </c>
      <c r="D21" s="13" t="n">
        <f aca="false">C21*(1-$B$9)</f>
        <v>2587.99260220961</v>
      </c>
      <c r="E21" s="47" t="n">
        <f aca="false">D21/$B$5*1000</f>
        <v>8.62664200736537</v>
      </c>
    </row>
    <row r="22" customFormat="false" ht="15" hidden="false" customHeight="true" outlineLevel="0" collapsed="false">
      <c r="A22" s="46" t="n">
        <v>35</v>
      </c>
      <c r="B22" s="13" t="n">
        <f aca="false">$B$5*((1+$B$6)/(1+$B$7))^A22</f>
        <v>1349640.75765139</v>
      </c>
      <c r="C22" s="13" t="n">
        <f aca="false">B22*$B$8/12</f>
        <v>3936.45220981656</v>
      </c>
      <c r="D22" s="13" t="n">
        <f aca="false">C22*(1-$B$9)</f>
        <v>3208.2085510005</v>
      </c>
      <c r="E22" s="47" t="n">
        <f aca="false">D22/$B$5*1000</f>
        <v>10.694028503335</v>
      </c>
    </row>
    <row r="23" customFormat="false" ht="15" hidden="false" customHeight="true" outlineLevel="0" collapsed="false">
      <c r="A23" s="48" t="n">
        <v>40</v>
      </c>
      <c r="B23" s="49" t="n">
        <f aca="false">$B$5*((1+$B$6)/(1+$B$7))^A23</f>
        <v>1673084.00177772</v>
      </c>
      <c r="C23" s="49" t="n">
        <f aca="false">B23*$B$8/12</f>
        <v>4879.82833851834</v>
      </c>
      <c r="D23" s="49" t="n">
        <f aca="false">C23*(1-$B$9)</f>
        <v>3977.06009589245</v>
      </c>
      <c r="E23" s="50" t="n">
        <f aca="false">D23/$B$5*1000</f>
        <v>13.2568669863082</v>
      </c>
    </row>
    <row r="24" customFormat="false" ht="15" hidden="false" customHeight="true" outlineLevel="0" collapsed="false">
      <c r="A24" s="46" t="n">
        <v>45</v>
      </c>
      <c r="B24" s="13" t="n">
        <f aca="false">$B$5*((1+$B$6)/(1+$B$7))^A24</f>
        <v>2074040.85949186</v>
      </c>
      <c r="C24" s="13" t="n">
        <f aca="false">B24*$B$8/12</f>
        <v>6049.28584018459</v>
      </c>
      <c r="D24" s="13" t="n">
        <f aca="false">C24*(1-$B$9)</f>
        <v>4930.16795975044</v>
      </c>
      <c r="E24" s="47" t="n">
        <f aca="false">D24/$B$5*1000</f>
        <v>16.4338931991681</v>
      </c>
    </row>
    <row r="26" customFormat="false" ht="15" hidden="false" customHeight="true" outlineLevel="0" collapsed="false">
      <c r="A26" s="16" t="s">
        <v>79</v>
      </c>
      <c r="B26" s="17"/>
      <c r="C26" s="17"/>
      <c r="D26" s="17"/>
      <c r="E26" s="17"/>
      <c r="F26" s="17"/>
    </row>
    <row r="27" customFormat="false" ht="15" hidden="false" customHeight="true" outlineLevel="0" collapsed="false">
      <c r="A27" s="45" t="s">
        <v>80</v>
      </c>
      <c r="B27" s="51" t="n">
        <v>0.03</v>
      </c>
      <c r="C27" s="51" t="n">
        <v>0.035</v>
      </c>
      <c r="D27" s="51" t="n">
        <v>0.04</v>
      </c>
      <c r="E27" s="51" t="n">
        <v>0.045</v>
      </c>
    </row>
    <row r="28" customFormat="false" ht="15" hidden="false" customHeight="true" outlineLevel="0" collapsed="false">
      <c r="A28" s="46" t="n">
        <v>20</v>
      </c>
      <c r="B28" s="13" t="n">
        <f aca="false">$B$5*((1+$B$6)/(1+$B$7))^$A28*B$27/12*(1-$B$9)</f>
        <v>1443.50109612931</v>
      </c>
      <c r="C28" s="13" t="n">
        <f aca="false">$B$5*((1+$B$6)/(1+$B$7))^$A28*C$27/12*(1-$B$9)</f>
        <v>1684.08461215086</v>
      </c>
      <c r="D28" s="13" t="n">
        <f aca="false">$B$5*((1+$B$6)/(1+$B$7))^$A28*D$27/12*(1-$B$9)</f>
        <v>1924.66812817241</v>
      </c>
      <c r="E28" s="13" t="n">
        <f aca="false">$B$5*((1+$B$6)/(1+$B$7))^$A28*E$27/12*(1-$B$9)</f>
        <v>2165.25164419396</v>
      </c>
    </row>
    <row r="29" customFormat="false" ht="15" hidden="false" customHeight="true" outlineLevel="0" collapsed="false">
      <c r="A29" s="46" t="n">
        <v>25</v>
      </c>
      <c r="B29" s="13" t="n">
        <f aca="false">$B$5*((1+$B$6)/(1+$B$7))^$A29*B$27/12*(1-$B$9)</f>
        <v>1789.43809809451</v>
      </c>
      <c r="C29" s="13" t="n">
        <f aca="false">$B$5*((1+$B$6)/(1+$B$7))^$A29*C$27/12*(1-$B$9)</f>
        <v>2087.67778111026</v>
      </c>
      <c r="D29" s="13" t="n">
        <f aca="false">$B$5*((1+$B$6)/(1+$B$7))^$A29*D$27/12*(1-$B$9)</f>
        <v>2385.91746412601</v>
      </c>
      <c r="E29" s="13" t="n">
        <f aca="false">$B$5*((1+$B$6)/(1+$B$7))^$A29*E$27/12*(1-$B$9)</f>
        <v>2684.15714714176</v>
      </c>
    </row>
    <row r="30" customFormat="false" ht="15" hidden="false" customHeight="true" outlineLevel="0" collapsed="false">
      <c r="A30" s="46" t="n">
        <v>30</v>
      </c>
      <c r="B30" s="13" t="n">
        <f aca="false">$B$5*((1+$B$6)/(1+$B$7))^$A30*B$27/12*(1-$B$9)</f>
        <v>2218.27937332252</v>
      </c>
      <c r="C30" s="13" t="n">
        <f aca="false">$B$5*((1+$B$6)/(1+$B$7))^$A30*C$27/12*(1-$B$9)</f>
        <v>2587.99260220961</v>
      </c>
      <c r="D30" s="13" t="n">
        <f aca="false">$B$5*((1+$B$6)/(1+$B$7))^$A30*D$27/12*(1-$B$9)</f>
        <v>2957.7058310967</v>
      </c>
      <c r="E30" s="13" t="n">
        <f aca="false">$B$5*((1+$B$6)/(1+$B$7))^$A30*E$27/12*(1-$B$9)</f>
        <v>3327.41905998379</v>
      </c>
    </row>
    <row r="31" customFormat="false" ht="15" hidden="false" customHeight="true" outlineLevel="0" collapsed="false">
      <c r="A31" s="46" t="n">
        <v>35</v>
      </c>
      <c r="B31" s="13" t="n">
        <f aca="false">$B$5*((1+$B$6)/(1+$B$7))^$A31*B$27/12*(1-$B$9)</f>
        <v>2749.89304371471</v>
      </c>
      <c r="C31" s="13" t="n">
        <f aca="false">$B$5*((1+$B$6)/(1+$B$7))^$A31*C$27/12*(1-$B$9)</f>
        <v>3208.2085510005</v>
      </c>
      <c r="D31" s="13" t="n">
        <f aca="false">$B$5*((1+$B$6)/(1+$B$7))^$A31*D$27/12*(1-$B$9)</f>
        <v>3666.52405828628</v>
      </c>
      <c r="E31" s="13" t="n">
        <f aca="false">$B$5*((1+$B$6)/(1+$B$7))^$A31*E$27/12*(1-$B$9)</f>
        <v>4124.83956557206</v>
      </c>
    </row>
    <row r="32" customFormat="false" ht="15" hidden="false" customHeight="true" outlineLevel="0" collapsed="false">
      <c r="A32" s="46" t="n">
        <v>40</v>
      </c>
      <c r="B32" s="13" t="n">
        <f aca="false">$B$5*((1+$B$6)/(1+$B$7))^$A32*B$27/12*(1-$B$9)</f>
        <v>3408.9086536221</v>
      </c>
      <c r="C32" s="13" t="n">
        <f aca="false">$B$5*((1+$B$6)/(1+$B$7))^$A32*C$27/12*(1-$B$9)</f>
        <v>3977.06009589245</v>
      </c>
      <c r="D32" s="13" t="n">
        <f aca="false">$B$5*((1+$B$6)/(1+$B$7))^$A32*D$27/12*(1-$B$9)</f>
        <v>4545.21153816279</v>
      </c>
      <c r="E32" s="13" t="n">
        <f aca="false">$B$5*((1+$B$6)/(1+$B$7))^$A32*E$27/12*(1-$B$9)</f>
        <v>5113.36298043314</v>
      </c>
    </row>
    <row r="33" customFormat="false" ht="15" hidden="false" customHeight="true" outlineLevel="0" collapsed="false">
      <c r="A33" s="46" t="n">
        <v>45</v>
      </c>
      <c r="B33" s="13" t="n">
        <f aca="false">$B$5*((1+$B$6)/(1+$B$7))^$A33*B$27/12*(1-$B$9)</f>
        <v>4225.85825121466</v>
      </c>
      <c r="C33" s="13" t="n">
        <f aca="false">$B$5*((1+$B$6)/(1+$B$7))^$A33*C$27/12*(1-$B$9)</f>
        <v>4930.16795975044</v>
      </c>
      <c r="D33" s="13" t="n">
        <f aca="false">$B$5*((1+$B$6)/(1+$B$7))^$A33*D$27/12*(1-$B$9)</f>
        <v>5634.47766828622</v>
      </c>
      <c r="E33" s="13" t="n">
        <f aca="false">$B$5*((1+$B$6)/(1+$B$7))^$A33*E$27/12*(1-$B$9)</f>
        <v>6338.78737682199</v>
      </c>
    </row>
    <row r="34" customFormat="false" ht="15" hidden="false" customHeight="true" outlineLevel="0" collapsed="false">
      <c r="A34" s="52" t="s">
        <v>81</v>
      </c>
      <c r="B34" s="53" t="n">
        <f aca="false">$B$11-B$27</f>
        <v>0.0139024390243905</v>
      </c>
      <c r="C34" s="53" t="n">
        <f aca="false">$B$11-C$27</f>
        <v>0.0089024390243905</v>
      </c>
      <c r="D34" s="53" t="n">
        <f aca="false">$B$11-D$27</f>
        <v>0.0039024390243905</v>
      </c>
      <c r="E34" s="53" t="n">
        <f aca="false">$B$11-E$27</f>
        <v>-0.00109756097560949</v>
      </c>
    </row>
    <row r="35" customFormat="false" ht="15" hidden="false" customHeight="true" outlineLevel="0" collapsed="false">
      <c r="A35" s="54" t="s">
        <v>82</v>
      </c>
    </row>
    <row r="37" customFormat="false" ht="15" hidden="false" customHeight="true" outlineLevel="0" collapsed="false">
      <c r="A37" s="21" t="s">
        <v>59</v>
      </c>
    </row>
    <row r="38" customFormat="false" ht="15" hidden="false" customHeight="true" outlineLevel="0" collapsed="false">
      <c r="A38" s="22" t="s">
        <v>83</v>
      </c>
    </row>
    <row r="39" customFormat="false" ht="15" hidden="false" customHeight="true" outlineLevel="0" collapsed="false">
      <c r="A39" s="22" t="s">
        <v>84</v>
      </c>
    </row>
    <row r="40" customFormat="false" ht="15" hidden="false" customHeight="true" outlineLevel="0" collapsed="false">
      <c r="A40" s="22" t="s">
        <v>85</v>
      </c>
    </row>
    <row r="41" customFormat="false" ht="15" hidden="false" customHeight="true" outlineLevel="0" collapsed="false">
      <c r="A41" s="22" t="s">
        <v>86</v>
      </c>
    </row>
    <row r="42" customFormat="false" ht="15" hidden="false" customHeight="true" outlineLevel="0" collapsed="false">
      <c r="A42" s="2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6" min="3" style="1" width="13"/>
  </cols>
  <sheetData>
    <row r="1" customFormat="false" ht="15.75" hidden="false" customHeight="true" outlineLevel="0" collapsed="false">
      <c r="A1" s="43" t="s">
        <v>88</v>
      </c>
    </row>
    <row r="2" customFormat="false" ht="15" hidden="false" customHeight="true" outlineLevel="0" collapsed="false">
      <c r="A2" s="3" t="s">
        <v>89</v>
      </c>
    </row>
    <row r="4" customFormat="false" ht="15" hidden="false" customHeight="true" outlineLevel="0" collapsed="false">
      <c r="A4" s="4" t="s">
        <v>90</v>
      </c>
      <c r="B4" s="5"/>
      <c r="C4" s="5"/>
      <c r="D4" s="5"/>
      <c r="E4" s="5"/>
      <c r="F4" s="5"/>
    </row>
    <row r="5" customFormat="false" ht="15" hidden="false" customHeight="true" outlineLevel="0" collapsed="false">
      <c r="A5" s="18" t="s">
        <v>91</v>
      </c>
      <c r="B5" s="55" t="s">
        <v>14</v>
      </c>
      <c r="C5" s="56" t="n">
        <v>0.05</v>
      </c>
      <c r="D5" s="56" t="n">
        <v>0.06</v>
      </c>
      <c r="E5" s="56" t="n">
        <v>0.07</v>
      </c>
      <c r="F5" s="56" t="n">
        <v>0.08</v>
      </c>
    </row>
    <row r="6" customFormat="false" ht="15" hidden="false" customHeight="true" outlineLevel="0" collapsed="false">
      <c r="A6" s="11" t="n">
        <v>85</v>
      </c>
      <c r="B6" s="57" t="n">
        <f aca="false">A6-Modell!$B$6</f>
        <v>20</v>
      </c>
      <c r="C6" s="13" t="n">
        <f aca="false">((((Modell!$B$8*(1+C$5)^Modell!$B$14)-((Modell!$B$8*(1+C$5)^Modell!$B$14)-Modell!$B$8)*Modell!$B$11)/(1+Modell!$B$10)^Modell!$B$14))*((1+((1+C$5*(1-Modell!$B$11))/(1+Modell!$B$10)-1))^(1/12)-1)/(1-(1+((1+C$5*(1-Modell!$B$11))/(1+Modell!$B$10)-1))^(-($A6-Modell!$B$6)))</f>
        <v>3201.00842221831</v>
      </c>
      <c r="D6" s="13" t="n">
        <f aca="false">((((Modell!$B$8*(1+D$5)^Modell!$B$14)-((Modell!$B$8*(1+D$5)^Modell!$B$14)-Modell!$B$8)*Modell!$B$11)/(1+Modell!$B$10)^Modell!$B$14))*((1+((1+D$5*(1-Modell!$B$11))/(1+Modell!$B$10)-1))^(1/12)-1)/(1-(1+((1+D$5*(1-Modell!$B$11))/(1+Modell!$B$10)-1))^(-($A6-Modell!$B$6)))</f>
        <v>4983.2011883513</v>
      </c>
      <c r="E6" s="13" t="n">
        <f aca="false">((((Modell!$B$8*(1+E$5)^Modell!$B$14)-((Modell!$B$8*(1+E$5)^Modell!$B$14)-Modell!$B$8)*Modell!$B$11)/(1+Modell!$B$10)^Modell!$B$14))*((1+((1+E$5*(1-Modell!$B$11))/(1+Modell!$B$10)-1))^(1/12)-1)/(1-(1+((1+E$5*(1-Modell!$B$11))/(1+Modell!$B$10)-1))^(-($A6-Modell!$B$6)))</f>
        <v>7734.49189052439</v>
      </c>
      <c r="F6" s="13" t="n">
        <f aca="false">((((Modell!$B$8*(1+F$5)^Modell!$B$14)-((Modell!$B$8*(1+F$5)^Modell!$B$14)-Modell!$B$8)*Modell!$B$11)/(1+Modell!$B$10)^Modell!$B$14))*((1+((1+F$5*(1-Modell!$B$11))/(1+Modell!$B$10)-1))^(1/12)-1)/(1-(1+((1+F$5*(1-Modell!$B$11))/(1+Modell!$B$10)-1))^(-($A6-Modell!$B$6)))</f>
        <v>11958.7824028279</v>
      </c>
    </row>
    <row r="7" customFormat="false" ht="15" hidden="false" customHeight="true" outlineLevel="0" collapsed="false">
      <c r="A7" s="11" t="n">
        <v>90</v>
      </c>
      <c r="B7" s="57" t="n">
        <f aca="false">A7-Modell!$B$6</f>
        <v>25</v>
      </c>
      <c r="C7" s="13" t="n">
        <f aca="false">((((Modell!$B$8*(1+C$5)^Modell!$B$14)-((Modell!$B$8*(1+C$5)^Modell!$B$14)-Modell!$B$8)*Modell!$B$11)/(1+Modell!$B$10)^Modell!$B$14))*((1+((1+C$5*(1-Modell!$B$11))/(1+Modell!$B$10)-1))^(1/12)-1)/(1-(1+((1+C$5*(1-Modell!$B$11))/(1+Modell!$B$10)-1))^(-($A7-Modell!$B$6)))</f>
        <v>2654.53409868364</v>
      </c>
      <c r="D7" s="13" t="n">
        <f aca="false">((((Modell!$B$8*(1+D$5)^Modell!$B$14)-((Modell!$B$8*(1+D$5)^Modell!$B$14)-Modell!$B$8)*Modell!$B$11)/(1+Modell!$B$10)^Modell!$B$14))*((1+((1+D$5*(1-Modell!$B$11))/(1+Modell!$B$10)-1))^(1/12)-1)/(1-(1+((1+D$5*(1-Modell!$B$11))/(1+Modell!$B$10)-1))^(-($A7-Modell!$B$6)))</f>
        <v>4202.14101353913</v>
      </c>
      <c r="E7" s="13" t="n">
        <f aca="false">((((Modell!$B$8*(1+E$5)^Modell!$B$14)-((Modell!$B$8*(1+E$5)^Modell!$B$14)-Modell!$B$8)*Modell!$B$11)/(1+Modell!$B$10)^Modell!$B$14))*((1+((1+E$5*(1-Modell!$B$11))/(1+Modell!$B$10)-1))^(1/12)-1)/(1-(1+((1+E$5*(1-Modell!$B$11))/(1+Modell!$B$10)-1))^(-($A7-Modell!$B$6)))</f>
        <v>6624.02694265949</v>
      </c>
      <c r="F7" s="13" t="n">
        <f aca="false">((((Modell!$B$8*(1+F$5)^Modell!$B$14)-((Modell!$B$8*(1+F$5)^Modell!$B$14)-Modell!$B$8)*Modell!$B$11)/(1+Modell!$B$10)^Modell!$B$14))*((1+((1+F$5*(1-Modell!$B$11))/(1+Modell!$B$10)-1))^(1/12)-1)/(1-(1+((1+F$5*(1-Modell!$B$11))/(1+Modell!$B$10)-1))^(-($A7-Modell!$B$6)))</f>
        <v>10389.4940217124</v>
      </c>
    </row>
    <row r="8" customFormat="false" ht="15" hidden="false" customHeight="true" outlineLevel="0" collapsed="false">
      <c r="A8" s="11" t="n">
        <v>95</v>
      </c>
      <c r="B8" s="57" t="n">
        <f aca="false">A8-Modell!$B$6</f>
        <v>30</v>
      </c>
      <c r="C8" s="13" t="n">
        <f aca="false">((((Modell!$B$8*(1+C$5)^Modell!$B$14)-((Modell!$B$8*(1+C$5)^Modell!$B$14)-Modell!$B$8)*Modell!$B$11)/(1+Modell!$B$10)^Modell!$B$14))*((1+((1+C$5*(1-Modell!$B$11))/(1+Modell!$B$10)-1))^(1/12)-1)/(1-(1+((1+C$5*(1-Modell!$B$11))/(1+Modell!$B$10)-1))^(-($A8-Modell!$B$6)))</f>
        <v>2291.97410537435</v>
      </c>
      <c r="D8" s="13" t="n">
        <f aca="false">((((Modell!$B$8*(1+D$5)^Modell!$B$14)-((Modell!$B$8*(1+D$5)^Modell!$B$14)-Modell!$B$8)*Modell!$B$11)/(1+Modell!$B$10)^Modell!$B$14))*((1+((1+D$5*(1-Modell!$B$11))/(1+Modell!$B$10)-1))^(1/12)-1)/(1-(1+((1+D$5*(1-Modell!$B$11))/(1+Modell!$B$10)-1))^(-($A8-Modell!$B$6)))</f>
        <v>3687.13321900431</v>
      </c>
      <c r="E8" s="13" t="n">
        <f aca="false">((((Modell!$B$8*(1+E$5)^Modell!$B$14)-((Modell!$B$8*(1+E$5)^Modell!$B$14)-Modell!$B$8)*Modell!$B$11)/(1+Modell!$B$10)^Modell!$B$14))*((1+((1+E$5*(1-Modell!$B$11))/(1+Modell!$B$10)-1))^(1/12)-1)/(1-(1+((1+E$5*(1-Modell!$B$11))/(1+Modell!$B$10)-1))^(-($A8-Modell!$B$6)))</f>
        <v>5898.04946030623</v>
      </c>
      <c r="F8" s="13" t="n">
        <f aca="false">((((Modell!$B$8*(1+F$5)^Modell!$B$14)-((Modell!$B$8*(1+F$5)^Modell!$B$14)-Modell!$B$8)*Modell!$B$11)/(1+Modell!$B$10)^Modell!$B$14))*((1+((1+F$5*(1-Modell!$B$11))/(1+Modell!$B$10)-1))^(1/12)-1)/(1-(1+((1+F$5*(1-Modell!$B$11))/(1+Modell!$B$10)-1))^(-($A8-Modell!$B$6)))</f>
        <v>9374.57599221688</v>
      </c>
    </row>
    <row r="9" customFormat="false" ht="15" hidden="false" customHeight="true" outlineLevel="0" collapsed="false">
      <c r="A9" s="11" t="n">
        <v>100</v>
      </c>
      <c r="B9" s="57" t="n">
        <f aca="false">A9-Modell!$B$6</f>
        <v>35</v>
      </c>
      <c r="C9" s="13" t="n">
        <f aca="false">((((Modell!$B$8*(1+C$5)^Modell!$B$14)-((Modell!$B$8*(1+C$5)^Modell!$B$14)-Modell!$B$8)*Modell!$B$11)/(1+Modell!$B$10)^Modell!$B$14))*((1+((1+C$5*(1-Modell!$B$11))/(1+Modell!$B$10)-1))^(1/12)-1)/(1-(1+((1+C$5*(1-Modell!$B$11))/(1+Modell!$B$10)-1))^(-($A9-Modell!$B$6)))</f>
        <v>2034.49845422783</v>
      </c>
      <c r="D9" s="13" t="n">
        <f aca="false">((((Modell!$B$8*(1+D$5)^Modell!$B$14)-((Modell!$B$8*(1+D$5)^Modell!$B$14)-Modell!$B$8)*Modell!$B$11)/(1+Modell!$B$10)^Modell!$B$14))*((1+((1+D$5*(1-Modell!$B$11))/(1+Modell!$B$10)-1))^(1/12)-1)/(1-(1+((1+D$5*(1-Modell!$B$11))/(1+Modell!$B$10)-1))^(-($A9-Modell!$B$6)))</f>
        <v>3324.08508308132</v>
      </c>
      <c r="E9" s="13" t="n">
        <f aca="false">((((Modell!$B$8*(1+E$5)^Modell!$B$14)-((Modell!$B$8*(1+E$5)^Modell!$B$14)-Modell!$B$8)*Modell!$B$11)/(1+Modell!$B$10)^Modell!$B$14))*((1+((1+E$5*(1-Modell!$B$11))/(1+Modell!$B$10)-1))^(1/12)-1)/(1-(1+((1+E$5*(1-Modell!$B$11))/(1+Modell!$B$10)-1))^(-($A9-Modell!$B$6)))</f>
        <v>5391.46749389739</v>
      </c>
      <c r="F9" s="13" t="n">
        <f aca="false">((((Modell!$B$8*(1+F$5)^Modell!$B$14)-((Modell!$B$8*(1+F$5)^Modell!$B$14)-Modell!$B$8)*Modell!$B$11)/(1+Modell!$B$10)^Modell!$B$14))*((1+((1+F$5*(1-Modell!$B$11))/(1+Modell!$B$10)-1))^(1/12)-1)/(1-(1+((1+F$5*(1-Modell!$B$11))/(1+Modell!$B$10)-1))^(-($A9-Modell!$B$6)))</f>
        <v>8675.39536820797</v>
      </c>
    </row>
    <row r="10" customFormat="false" ht="15" hidden="false" customHeight="true" outlineLevel="0" collapsed="false">
      <c r="A10" s="11" t="n">
        <v>105</v>
      </c>
      <c r="B10" s="57" t="n">
        <f aca="false">A10-Modell!$B$6</f>
        <v>40</v>
      </c>
      <c r="C10" s="13" t="n">
        <f aca="false">((((Modell!$B$8*(1+C$5)^Modell!$B$14)-((Modell!$B$8*(1+C$5)^Modell!$B$14)-Modell!$B$8)*Modell!$B$11)/(1+Modell!$B$10)^Modell!$B$14))*((1+((1+C$5*(1-Modell!$B$11))/(1+Modell!$B$10)-1))^(1/12)-1)/(1-(1+((1+C$5*(1-Modell!$B$11))/(1+Modell!$B$10)-1))^(-($A10-Modell!$B$6)))</f>
        <v>1842.69071154191</v>
      </c>
      <c r="D10" s="13" t="n">
        <f aca="false">((((Modell!$B$8*(1+D$5)^Modell!$B$14)-((Modell!$B$8*(1+D$5)^Modell!$B$14)-Modell!$B$8)*Modell!$B$11)/(1+Modell!$B$10)^Modell!$B$14))*((1+((1+D$5*(1-Modell!$B$11))/(1+Modell!$B$10)-1))^(1/12)-1)/(1-(1+((1+D$5*(1-Modell!$B$11))/(1+Modell!$B$10)-1))^(-($A10-Modell!$B$6)))</f>
        <v>3055.94041600483</v>
      </c>
      <c r="E10" s="13" t="n">
        <f aca="false">((((Modell!$B$8*(1+E$5)^Modell!$B$14)-((Modell!$B$8*(1+E$5)^Modell!$B$14)-Modell!$B$8)*Modell!$B$11)/(1+Modell!$B$10)^Modell!$B$14))*((1+((1+E$5*(1-Modell!$B$11))/(1+Modell!$B$10)-1))^(1/12)-1)/(1-(1+((1+E$5*(1-Modell!$B$11))/(1+Modell!$B$10)-1))^(-($A10-Modell!$B$6)))</f>
        <v>5021.69601603331</v>
      </c>
      <c r="F10" s="13" t="n">
        <f aca="false">((((Modell!$B$8*(1+F$5)^Modell!$B$14)-((Modell!$B$8*(1+F$5)^Modell!$B$14)-Modell!$B$8)*Modell!$B$11)/(1+Modell!$B$10)^Modell!$B$14))*((1+((1+F$5*(1-Modell!$B$11))/(1+Modell!$B$10)-1))^(1/12)-1)/(1-(1+((1+F$5*(1-Modell!$B$11))/(1+Modell!$B$10)-1))^(-($A10-Modell!$B$6)))</f>
        <v>8172.52336273435</v>
      </c>
    </row>
    <row r="12" customFormat="false" ht="15" hidden="false" customHeight="true" outlineLevel="0" collapsed="false">
      <c r="A12" s="4" t="s">
        <v>92</v>
      </c>
      <c r="B12" s="5"/>
      <c r="C12" s="5"/>
      <c r="D12" s="5"/>
      <c r="E12" s="5"/>
      <c r="F12" s="5"/>
    </row>
    <row r="13" customFormat="false" ht="15" hidden="false" customHeight="true" outlineLevel="0" collapsed="false">
      <c r="A13" s="18" t="s">
        <v>91</v>
      </c>
      <c r="B13" s="55" t="s">
        <v>14</v>
      </c>
      <c r="C13" s="56" t="n">
        <v>0.05</v>
      </c>
      <c r="D13" s="56" t="n">
        <v>0.06</v>
      </c>
      <c r="E13" s="56" t="n">
        <v>0.07</v>
      </c>
      <c r="F13" s="56" t="n">
        <v>0.08</v>
      </c>
    </row>
    <row r="14" customFormat="false" ht="15" hidden="false" customHeight="true" outlineLevel="0" collapsed="false">
      <c r="A14" s="11" t="n">
        <v>85</v>
      </c>
      <c r="B14" s="57" t="n">
        <f aca="false">A14-Modell!$B$6</f>
        <v>20</v>
      </c>
      <c r="C14" s="13" t="n">
        <f aca="false">((Modell!$B$8*(1+((1+C$13)/(1+Modell!$B$10)-1))^Modell!$B$14))*((1+((1+C$13)/(1+Modell!$B$10)-1))^(1/12)-1)/(1-(1+((1+C$13)/(1+Modell!$B$10)-1))^(-($A14-Modell!$B$6)))</f>
        <v>4134.49762527993</v>
      </c>
      <c r="D14" s="13" t="n">
        <f aca="false">((Modell!$B$8*(1+((1+D$13)/(1+Modell!$B$10)-1))^Modell!$B$14))*((1+((1+D$13)/(1+Modell!$B$10)-1))^(1/12)-1)/(1-(1+((1+D$13)/(1+Modell!$B$10)-1))^(-($A14-Modell!$B$6)))</f>
        <v>6583.9726788665</v>
      </c>
      <c r="E14" s="13" t="n">
        <f aca="false">((Modell!$B$8*(1+((1+E$13)/(1+Modell!$B$10)-1))^Modell!$B$14))*((1+((1+E$13)/(1+Modell!$B$10)-1))^(1/12)-1)/(1-(1+((1+E$13)/(1+Modell!$B$10)-1))^(-($A14-Modell!$B$6)))</f>
        <v>10408.8382006404</v>
      </c>
      <c r="F14" s="13" t="n">
        <f aca="false">((Modell!$B$8*(1+((1+F$13)/(1+Modell!$B$10)-1))^Modell!$B$14))*((1+((1+F$13)/(1+Modell!$B$10)-1))^(1/12)-1)/(1-(1+((1+F$13)/(1+Modell!$B$10)-1))^(-($A14-Modell!$B$6)))</f>
        <v>16340.0325529554</v>
      </c>
    </row>
    <row r="15" customFormat="false" ht="15" hidden="false" customHeight="true" outlineLevel="0" collapsed="false">
      <c r="A15" s="11" t="n">
        <v>90</v>
      </c>
      <c r="B15" s="57" t="n">
        <f aca="false">A15-Modell!$B$6</f>
        <v>25</v>
      </c>
      <c r="C15" s="13" t="n">
        <f aca="false">((Modell!$B$8*(1+((1+C$13)/(1+Modell!$B$10)-1))^Modell!$B$14))*((1+((1+C$13)/(1+Modell!$B$10)-1))^(1/12)-1)/(1-(1+((1+C$13)/(1+Modell!$B$10)-1))^(-($A15-Modell!$B$6)))</f>
        <v>3494.00617033736</v>
      </c>
      <c r="D15" s="13" t="n">
        <f aca="false">((Modell!$B$8*(1+((1+D$13)/(1+Modell!$B$10)-1))^Modell!$B$14))*((1+((1+D$13)/(1+Modell!$B$10)-1))^(1/12)-1)/(1-(1+((1+D$13)/(1+Modell!$B$10)-1))^(-($A15-Modell!$B$6)))</f>
        <v>5668.73962133883</v>
      </c>
      <c r="E15" s="13" t="n">
        <f aca="false">((Modell!$B$8*(1+((1+E$13)/(1+Modell!$B$10)-1))^Modell!$B$14))*((1+((1+E$13)/(1+Modell!$B$10)-1))^(1/12)-1)/(1-(1+((1+E$13)/(1+Modell!$B$10)-1))^(-($A15-Modell!$B$6)))</f>
        <v>9114.68289261711</v>
      </c>
      <c r="F15" s="13" t="n">
        <f aca="false">((Modell!$B$8*(1+((1+F$13)/(1+Modell!$B$10)-1))^Modell!$B$14))*((1+((1+F$13)/(1+Modell!$B$10)-1))^(1/12)-1)/(1-(1+((1+F$13)/(1+Modell!$B$10)-1))^(-($A15-Modell!$B$6)))</f>
        <v>14528.4871415677</v>
      </c>
    </row>
    <row r="16" customFormat="false" ht="15" hidden="false" customHeight="true" outlineLevel="0" collapsed="false">
      <c r="A16" s="11" t="n">
        <v>95</v>
      </c>
      <c r="B16" s="57" t="n">
        <f aca="false">A16-Modell!$B$6</f>
        <v>30</v>
      </c>
      <c r="C16" s="13" t="n">
        <f aca="false">((Modell!$B$8*(1+((1+C$13)/(1+Modell!$B$10)-1))^Modell!$B$14))*((1+((1+C$13)/(1+Modell!$B$10)-1))^(1/12)-1)/(1-(1+((1+C$13)/(1+Modell!$B$10)-1))^(-($A16-Modell!$B$6)))</f>
        <v>3072.11460931265</v>
      </c>
      <c r="D16" s="13" t="n">
        <f aca="false">((Modell!$B$8*(1+((1+D$13)/(1+Modell!$B$10)-1))^Modell!$B$14))*((1+((1+D$13)/(1+Modell!$B$10)-1))^(1/12)-1)/(1-(1+((1+D$13)/(1+Modell!$B$10)-1))^(-($A16-Modell!$B$6)))</f>
        <v>5072.57996757708</v>
      </c>
      <c r="E16" s="13" t="n">
        <f aca="false">((Modell!$B$8*(1+((1+E$13)/(1+Modell!$B$10)-1))^Modell!$B$14))*((1+((1+E$13)/(1+Modell!$B$10)-1))^(1/12)-1)/(1-(1+((1+E$13)/(1+Modell!$B$10)-1))^(-($A16-Modell!$B$6)))</f>
        <v>8283.84456981808</v>
      </c>
      <c r="F16" s="13" t="n">
        <f aca="false">((Modell!$B$8*(1+((1+F$13)/(1+Modell!$B$10)-1))^Modell!$B$14))*((1+((1+F$13)/(1+Modell!$B$10)-1))^(1/12)-1)/(1-(1+((1+F$13)/(1+Modell!$B$10)-1))^(-($A16-Modell!$B$6)))</f>
        <v>13385.7664272377</v>
      </c>
    </row>
    <row r="17" customFormat="false" ht="15" hidden="false" customHeight="true" outlineLevel="0" collapsed="false">
      <c r="A17" s="11" t="n">
        <v>100</v>
      </c>
      <c r="B17" s="57" t="n">
        <f aca="false">A17-Modell!$B$6</f>
        <v>35</v>
      </c>
      <c r="C17" s="13" t="n">
        <f aca="false">((Modell!$B$8*(1+((1+C$13)/(1+Modell!$B$10)-1))^Modell!$B$14))*((1+((1+C$13)/(1+Modell!$B$10)-1))^(1/12)-1)/(1-(1+((1+C$13)/(1+Modell!$B$10)-1))^(-($A17-Modell!$B$6)))</f>
        <v>2775.06859776481</v>
      </c>
      <c r="D17" s="13" t="n">
        <f aca="false">((Modell!$B$8*(1+((1+D$13)/(1+Modell!$B$10)-1))^Modell!$B$14))*((1+((1+D$13)/(1+Modell!$B$10)-1))^(1/12)-1)/(1-(1+((1+D$13)/(1+Modell!$B$10)-1))^(-($A17-Modell!$B$6)))</f>
        <v>4658.38794890404</v>
      </c>
      <c r="E17" s="13" t="n">
        <f aca="false">((Modell!$B$8*(1+((1+E$13)/(1+Modell!$B$10)-1))^Modell!$B$14))*((1+((1+E$13)/(1+Modell!$B$10)-1))^(1/12)-1)/(1-(1+((1+E$13)/(1+Modell!$B$10)-1))^(-($A17-Modell!$B$6)))</f>
        <v>7716.44054826489</v>
      </c>
      <c r="F17" s="13" t="n">
        <f aca="false">((Modell!$B$8*(1+((1+F$13)/(1+Modell!$B$10)-1))^Modell!$B$14))*((1+((1+F$13)/(1+Modell!$B$10)-1))^(1/12)-1)/(1-(1+((1+F$13)/(1+Modell!$B$10)-1))^(-($A17-Modell!$B$6)))</f>
        <v>12621.3565472272</v>
      </c>
    </row>
    <row r="18" customFormat="false" ht="15" hidden="false" customHeight="true" outlineLevel="0" collapsed="false">
      <c r="A18" s="11" t="n">
        <v>105</v>
      </c>
      <c r="B18" s="57" t="n">
        <f aca="false">A18-Modell!$B$6</f>
        <v>40</v>
      </c>
      <c r="C18" s="13" t="n">
        <f aca="false">((Modell!$B$8*(1+((1+C$13)/(1+Modell!$B$10)-1))^Modell!$B$14))*((1+((1+C$13)/(1+Modell!$B$10)-1))^(1/12)-1)/(1-(1+((1+C$13)/(1+Modell!$B$10)-1))^(-($A18-Modell!$B$6)))</f>
        <v>2555.98147804257</v>
      </c>
      <c r="D18" s="13" t="n">
        <f aca="false">((Modell!$B$8*(1+((1+D$13)/(1+Modell!$B$10)-1))^Modell!$B$14))*((1+((1+D$13)/(1+Modell!$B$10)-1))^(1/12)-1)/(1-(1+((1+D$13)/(1+Modell!$B$10)-1))^(-($A18-Modell!$B$6)))</f>
        <v>4357.56776404283</v>
      </c>
      <c r="E18" s="13" t="n">
        <f aca="false">((Modell!$B$8*(1+((1+E$13)/(1+Modell!$B$10)-1))^Modell!$B$14))*((1+((1+E$13)/(1+Modell!$B$10)-1))^(1/12)-1)/(1-(1+((1+E$13)/(1+Modell!$B$10)-1))^(-($A18-Modell!$B$6)))</f>
        <v>7312.40361928078</v>
      </c>
      <c r="F18" s="13" t="n">
        <f aca="false">((Modell!$B$8*(1+((1+F$13)/(1+Modell!$B$10)-1))^Modell!$B$14))*((1+((1+F$13)/(1+Modell!$B$10)-1))^(1/12)-1)/(1-(1+((1+F$13)/(1+Modell!$B$10)-1))^(-($A18-Modell!$B$6)))</f>
        <v>12089.7375736946</v>
      </c>
    </row>
    <row r="20" customFormat="false" ht="15" hidden="false" customHeight="true" outlineLevel="0" collapsed="false">
      <c r="A20" s="16" t="s">
        <v>93</v>
      </c>
      <c r="B20" s="17"/>
      <c r="C20" s="17"/>
      <c r="D20" s="17"/>
      <c r="E20" s="17"/>
      <c r="F20" s="17"/>
    </row>
    <row r="21" customFormat="false" ht="15" hidden="false" customHeight="true" outlineLevel="0" collapsed="false">
      <c r="A21" s="18" t="s">
        <v>91</v>
      </c>
      <c r="B21" s="55" t="s">
        <v>14</v>
      </c>
      <c r="C21" s="56" t="n">
        <v>0.05</v>
      </c>
      <c r="D21" s="56" t="n">
        <v>0.06</v>
      </c>
      <c r="E21" s="56" t="n">
        <v>0.07</v>
      </c>
      <c r="F21" s="56" t="n">
        <v>0.08</v>
      </c>
    </row>
    <row r="22" customFormat="false" ht="15" hidden="false" customHeight="true" outlineLevel="0" collapsed="false">
      <c r="A22" s="11" t="n">
        <v>85</v>
      </c>
      <c r="B22" s="57" t="n">
        <f aca="false">A22-Modell!$B$6</f>
        <v>20</v>
      </c>
      <c r="C22" s="47" t="n">
        <f aca="false">C6/Modell!$B$8*1000</f>
        <v>10.670028074061</v>
      </c>
      <c r="D22" s="47" t="n">
        <f aca="false">D6/Modell!$B$8*1000</f>
        <v>16.6106706278377</v>
      </c>
      <c r="E22" s="47" t="n">
        <f aca="false">E6/Modell!$B$8*1000</f>
        <v>25.7816396350813</v>
      </c>
      <c r="F22" s="47" t="n">
        <f aca="false">F6/Modell!$B$8*1000</f>
        <v>39.8626080094262</v>
      </c>
    </row>
    <row r="23" customFormat="false" ht="15" hidden="false" customHeight="true" outlineLevel="0" collapsed="false">
      <c r="A23" s="11" t="n">
        <v>90</v>
      </c>
      <c r="B23" s="57" t="n">
        <f aca="false">A23-Modell!$B$6</f>
        <v>25</v>
      </c>
      <c r="C23" s="47" t="n">
        <f aca="false">C7/Modell!$B$8*1000</f>
        <v>8.84844699561212</v>
      </c>
      <c r="D23" s="47" t="n">
        <f aca="false">D7/Modell!$B$8*1000</f>
        <v>14.0071367117971</v>
      </c>
      <c r="E23" s="47" t="n">
        <f aca="false">E7/Modell!$B$8*1000</f>
        <v>22.080089808865</v>
      </c>
      <c r="F23" s="47" t="n">
        <f aca="false">F7/Modell!$B$8*1000</f>
        <v>34.6316467390413</v>
      </c>
    </row>
    <row r="24" customFormat="false" ht="15" hidden="false" customHeight="true" outlineLevel="0" collapsed="false">
      <c r="A24" s="11" t="n">
        <v>95</v>
      </c>
      <c r="B24" s="57" t="n">
        <f aca="false">A24-Modell!$B$6</f>
        <v>30</v>
      </c>
      <c r="C24" s="47" t="n">
        <f aca="false">C8/Modell!$B$8*1000</f>
        <v>7.63991368458116</v>
      </c>
      <c r="D24" s="47" t="n">
        <f aca="false">D8/Modell!$B$8*1000</f>
        <v>12.2904440633477</v>
      </c>
      <c r="E24" s="47" t="n">
        <f aca="false">E8/Modell!$B$8*1000</f>
        <v>19.6601648676874</v>
      </c>
      <c r="F24" s="47" t="n">
        <f aca="false">F8/Modell!$B$8*1000</f>
        <v>31.2485866407229</v>
      </c>
    </row>
    <row r="25" customFormat="false" ht="15" hidden="false" customHeight="true" outlineLevel="0" collapsed="false">
      <c r="A25" s="11" t="n">
        <v>100</v>
      </c>
      <c r="B25" s="57" t="n">
        <f aca="false">A25-Modell!$B$6</f>
        <v>35</v>
      </c>
      <c r="C25" s="47" t="n">
        <f aca="false">C9/Modell!$B$8*1000</f>
        <v>6.78166151409276</v>
      </c>
      <c r="D25" s="47" t="n">
        <f aca="false">D9/Modell!$B$8*1000</f>
        <v>11.0802836102711</v>
      </c>
      <c r="E25" s="47" t="n">
        <f aca="false">E9/Modell!$B$8*1000</f>
        <v>17.9715583129913</v>
      </c>
      <c r="F25" s="47" t="n">
        <f aca="false">F9/Modell!$B$8*1000</f>
        <v>28.9179845606932</v>
      </c>
    </row>
    <row r="26" customFormat="false" ht="15" hidden="false" customHeight="true" outlineLevel="0" collapsed="false">
      <c r="A26" s="11" t="n">
        <v>105</v>
      </c>
      <c r="B26" s="57" t="n">
        <f aca="false">A26-Modell!$B$6</f>
        <v>40</v>
      </c>
      <c r="C26" s="47" t="n">
        <f aca="false">C10/Modell!$B$8*1000</f>
        <v>6.14230237180638</v>
      </c>
      <c r="D26" s="47" t="n">
        <f aca="false">D10/Modell!$B$8*1000</f>
        <v>10.1864680533494</v>
      </c>
      <c r="E26" s="47" t="n">
        <f aca="false">E10/Modell!$B$8*1000</f>
        <v>16.738986720111</v>
      </c>
      <c r="F26" s="47" t="n">
        <f aca="false">F10/Modell!$B$8*1000</f>
        <v>27.2417445424478</v>
      </c>
    </row>
    <row r="28" customFormat="false" ht="15" hidden="false" customHeight="true" outlineLevel="0" collapsed="false">
      <c r="A28" s="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5"/>
  </cols>
  <sheetData>
    <row r="1" customFormat="false" ht="15.75" hidden="false" customHeight="true" outlineLevel="0" collapsed="false">
      <c r="A1" s="43" t="s">
        <v>95</v>
      </c>
    </row>
    <row r="2" customFormat="false" ht="15" hidden="false" customHeight="true" outlineLevel="0" collapsed="false">
      <c r="A2" s="3" t="s">
        <v>96</v>
      </c>
    </row>
    <row r="4" customFormat="false" ht="15" hidden="false" customHeight="true" outlineLevel="0" collapsed="false">
      <c r="A4" s="4" t="s">
        <v>97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25</v>
      </c>
    </row>
    <row r="6" customFormat="false" ht="15" hidden="false" customHeight="true" outlineLevel="0" collapsed="false">
      <c r="A6" s="6" t="s">
        <v>98</v>
      </c>
      <c r="B6" s="7" t="n">
        <v>90</v>
      </c>
    </row>
    <row r="7" customFormat="false" ht="15" hidden="false" customHeight="true" outlineLevel="0" collapsed="false">
      <c r="A7" s="6" t="s">
        <v>99</v>
      </c>
      <c r="B7" s="9" t="n">
        <v>0.07</v>
      </c>
    </row>
    <row r="8" customFormat="false" ht="15" hidden="false" customHeight="true" outlineLevel="0" collapsed="false">
      <c r="A8" s="6" t="s">
        <v>100</v>
      </c>
      <c r="B8" s="9" t="n">
        <v>0.025</v>
      </c>
    </row>
    <row r="9" customFormat="false" ht="15" hidden="false" customHeight="true" outlineLevel="0" collapsed="false">
      <c r="A9" s="6" t="s">
        <v>101</v>
      </c>
      <c r="B9" s="9" t="n">
        <v>0.185</v>
      </c>
    </row>
    <row r="10" customFormat="false" ht="15" hidden="false" customHeight="true" outlineLevel="0" collapsed="false">
      <c r="A10" s="6" t="s">
        <v>6</v>
      </c>
      <c r="B10" s="8" t="n">
        <v>300000</v>
      </c>
    </row>
    <row r="12" customFormat="false" ht="15" hidden="false" customHeight="true" outlineLevel="0" collapsed="false">
      <c r="A12" s="4" t="s">
        <v>102</v>
      </c>
      <c r="B12" s="5"/>
      <c r="C12" s="5"/>
    </row>
    <row r="13" customFormat="false" ht="15" hidden="false" customHeight="true" outlineLevel="0" collapsed="false">
      <c r="A13" s="6" t="s">
        <v>103</v>
      </c>
      <c r="B13" s="12" t="n">
        <f aca="false">(1+B7)/(1+B8)-1</f>
        <v>0.0439024390243905</v>
      </c>
    </row>
    <row r="14" customFormat="false" ht="15" hidden="false" customHeight="true" outlineLevel="0" collapsed="false">
      <c r="A14" s="6" t="s">
        <v>104</v>
      </c>
      <c r="B14" s="12" t="n">
        <f aca="false">B7*(1-B9)</f>
        <v>0.05705</v>
      </c>
    </row>
    <row r="15" customFormat="false" ht="15" hidden="false" customHeight="true" outlineLevel="0" collapsed="false">
      <c r="A15" s="6" t="s">
        <v>105</v>
      </c>
      <c r="B15" s="12" t="n">
        <f aca="false">(1+B14)/(1+B8)-1</f>
        <v>0.0312682926829269</v>
      </c>
    </row>
    <row r="16" customFormat="false" ht="15" hidden="false" customHeight="true" outlineLevel="0" collapsed="false">
      <c r="A16" s="6" t="s">
        <v>106</v>
      </c>
      <c r="B16" s="58" t="n">
        <f aca="false">(1+B15)^(1/12)-1</f>
        <v>0.00256907751077562</v>
      </c>
    </row>
    <row r="18" customFormat="false" ht="26.25" hidden="false" customHeight="true" outlineLevel="0" collapsed="false">
      <c r="A18" s="45" t="s">
        <v>107</v>
      </c>
      <c r="B18" s="45" t="s">
        <v>108</v>
      </c>
      <c r="C18" s="45" t="s">
        <v>109</v>
      </c>
      <c r="D18" s="45" t="s">
        <v>110</v>
      </c>
      <c r="E18" s="45" t="s">
        <v>111</v>
      </c>
      <c r="F18" s="45" t="s">
        <v>112</v>
      </c>
    </row>
    <row r="19" customFormat="false" ht="15" hidden="false" customHeight="true" outlineLevel="0" collapsed="false">
      <c r="A19" s="57" t="n">
        <v>10</v>
      </c>
      <c r="B19" s="57" t="n">
        <f aca="false">$B$5+A19</f>
        <v>35</v>
      </c>
      <c r="C19" s="57" t="n">
        <f aca="false">$B$6-B19</f>
        <v>55</v>
      </c>
      <c r="D19" s="13" t="n">
        <f aca="false">$B$10*(1+((1+$B$7)^A19-1)*(1-$B$9))/(1+$B$8)^A19</f>
        <v>419088.340133109</v>
      </c>
      <c r="E19" s="13" t="n">
        <f aca="false">D19*((1+$B$15)^(1/12)-1)/(1-(1+$B$15)^(-C19))</f>
        <v>1319.27142065404</v>
      </c>
      <c r="F19" s="47" t="n">
        <f aca="false">E19/$B$10*1000</f>
        <v>4.39757140218013</v>
      </c>
    </row>
    <row r="20" customFormat="false" ht="15" hidden="false" customHeight="true" outlineLevel="0" collapsed="false">
      <c r="A20" s="57" t="n">
        <v>11</v>
      </c>
      <c r="B20" s="57" t="n">
        <f aca="false">$B$5+A20</f>
        <v>36</v>
      </c>
      <c r="C20" s="57" t="n">
        <f aca="false">$B$6-B20</f>
        <v>54</v>
      </c>
      <c r="D20" s="13" t="n">
        <f aca="false">$B$10*(1+((1+$B$7)^A20-1)*(1-$B$9))/(1+$B$8)^A20</f>
        <v>434526.4079529</v>
      </c>
      <c r="E20" s="13" t="n">
        <f aca="false">D20*((1+$B$15)^(1/12)-1)/(1-(1+$B$15)^(-C20))</f>
        <v>1377.57552631715</v>
      </c>
      <c r="F20" s="47" t="n">
        <f aca="false">E20/$B$10*1000</f>
        <v>4.59191842105718</v>
      </c>
    </row>
    <row r="21" customFormat="false" ht="15" hidden="false" customHeight="true" outlineLevel="0" collapsed="false">
      <c r="A21" s="57" t="n">
        <v>12</v>
      </c>
      <c r="B21" s="57" t="n">
        <f aca="false">$B$5+A21</f>
        <v>37</v>
      </c>
      <c r="C21" s="57" t="n">
        <f aca="false">$B$6-B21</f>
        <v>53</v>
      </c>
      <c r="D21" s="13" t="n">
        <f aca="false">$B$10*(1+((1+$B$7)^A21-1)*(1-$B$9))/(1+$B$8)^A21</f>
        <v>450714.462469139</v>
      </c>
      <c r="E21" s="13" t="n">
        <f aca="false">D21*((1+$B$15)^(1/12)-1)/(1-(1+$B$15)^(-C21))</f>
        <v>1439.42925070652</v>
      </c>
      <c r="F21" s="47" t="n">
        <f aca="false">E21/$B$10*1000</f>
        <v>4.79809750235507</v>
      </c>
    </row>
    <row r="22" customFormat="false" ht="15" hidden="false" customHeight="true" outlineLevel="0" collapsed="false">
      <c r="A22" s="57" t="n">
        <v>13</v>
      </c>
      <c r="B22" s="57" t="n">
        <f aca="false">$B$5+A22</f>
        <v>38</v>
      </c>
      <c r="C22" s="57" t="n">
        <f aca="false">$B$6-B22</f>
        <v>52</v>
      </c>
      <c r="D22" s="13" t="n">
        <f aca="false">$B$10*(1+((1+$B$7)^A22-1)*(1-$B$9))/(1+$B$8)^A22</f>
        <v>467683.668515685</v>
      </c>
      <c r="E22" s="13" t="n">
        <f aca="false">D22*((1+$B$15)^(1/12)-1)/(1-(1+$B$15)^(-C22))</f>
        <v>1505.06437139883</v>
      </c>
      <c r="F22" s="47" t="n">
        <f aca="false">E22/$B$10*1000</f>
        <v>5.0168812379961</v>
      </c>
    </row>
    <row r="23" customFormat="false" ht="15" hidden="false" customHeight="true" outlineLevel="0" collapsed="false">
      <c r="A23" s="57" t="n">
        <v>14</v>
      </c>
      <c r="B23" s="57" t="n">
        <f aca="false">$B$5+A23</f>
        <v>39</v>
      </c>
      <c r="C23" s="57" t="n">
        <f aca="false">$B$6-B23</f>
        <v>51</v>
      </c>
      <c r="D23" s="13" t="n">
        <f aca="false">$B$10*(1+((1+$B$7)^A23-1)*(1-$B$9))/(1+$B$8)^A23</f>
        <v>485466.602099871</v>
      </c>
      <c r="E23" s="13" t="n">
        <f aca="false">D23*((1+$B$15)^(1/12)-1)/(1-(1+$B$15)^(-C23))</f>
        <v>1574.73176727839</v>
      </c>
      <c r="F23" s="47" t="n">
        <f aca="false">E23/$B$10*1000</f>
        <v>5.24910589092798</v>
      </c>
    </row>
    <row r="24" customFormat="false" ht="15" hidden="false" customHeight="true" outlineLevel="0" collapsed="false">
      <c r="A24" s="57" t="n">
        <v>15</v>
      </c>
      <c r="B24" s="57" t="n">
        <f aca="false">$B$5+A24</f>
        <v>40</v>
      </c>
      <c r="C24" s="57" t="n">
        <f aca="false">$B$6-B24</f>
        <v>50</v>
      </c>
      <c r="D24" s="13" t="n">
        <f aca="false">$B$10*(1+((1+$B$7)^A24-1)*(1-$B$9))/(1+$B$8)^A24</f>
        <v>504097.311308619</v>
      </c>
      <c r="E24" s="13" t="n">
        <f aca="false">D24*((1+$B$15)^(1/12)-1)/(1-(1+$B$15)^(-C24))</f>
        <v>1648.7033370014</v>
      </c>
      <c r="F24" s="47" t="n">
        <f aca="false">E24/$B$10*1000</f>
        <v>5.49567779000468</v>
      </c>
    </row>
    <row r="25" customFormat="false" ht="15" hidden="false" customHeight="true" outlineLevel="0" collapsed="false">
      <c r="A25" s="57" t="n">
        <v>16</v>
      </c>
      <c r="B25" s="57" t="n">
        <f aca="false">$B$5+A25</f>
        <v>41</v>
      </c>
      <c r="C25" s="57" t="n">
        <f aca="false">$B$6-B25</f>
        <v>49</v>
      </c>
      <c r="D25" s="13" t="n">
        <f aca="false">$B$10*(1+((1+$B$7)^A25-1)*(1-$B$9))/(1+$B$8)^A25</f>
        <v>523611.379914052</v>
      </c>
      <c r="E25" s="13" t="n">
        <f aca="false">D25*((1+$B$15)^(1/12)-1)/(1-(1+$B$15)^(-C25))</f>
        <v>1727.27415262611</v>
      </c>
      <c r="F25" s="47" t="n">
        <f aca="false">E25/$B$10*1000</f>
        <v>5.7575805087537</v>
      </c>
    </row>
    <row r="26" customFormat="false" ht="15" hidden="false" customHeight="true" outlineLevel="0" collapsed="false">
      <c r="A26" s="57" t="n">
        <v>17</v>
      </c>
      <c r="B26" s="57" t="n">
        <f aca="false">$B$5+A26</f>
        <v>42</v>
      </c>
      <c r="C26" s="57" t="n">
        <f aca="false">$B$6-B26</f>
        <v>48</v>
      </c>
      <c r="D26" s="13" t="n">
        <f aca="false">$B$10*(1+((1+$B$7)^A26-1)*(1-$B$9))/(1+$B$8)^A26</f>
        <v>544045.993796471</v>
      </c>
      <c r="E26" s="13" t="n">
        <f aca="false">D26*((1+$B$15)^(1/12)-1)/(1-(1+$B$15)^(-C26))</f>
        <v>1810.7648826988</v>
      </c>
      <c r="F26" s="47" t="n">
        <f aca="false">E26/$B$10*1000</f>
        <v>6.03588294232933</v>
      </c>
    </row>
    <row r="27" customFormat="false" ht="15" hidden="false" customHeight="true" outlineLevel="0" collapsed="false">
      <c r="A27" s="57" t="n">
        <v>18</v>
      </c>
      <c r="B27" s="57" t="n">
        <f aca="false">$B$5+A27</f>
        <v>43</v>
      </c>
      <c r="C27" s="57" t="n">
        <f aca="false">$B$6-B27</f>
        <v>47</v>
      </c>
      <c r="D27" s="13" t="n">
        <f aca="false">$B$10*(1+((1+$B$7)^A27-1)*(1-$B$9))/(1+$B$8)^A27</f>
        <v>565440.010307794</v>
      </c>
      <c r="E27" s="13" t="n">
        <f aca="false">D27*((1+$B$15)^(1/12)-1)/(1-(1+$B$15)^(-C27))</f>
        <v>1899.52452492206</v>
      </c>
      <c r="F27" s="47" t="n">
        <f aca="false">E27/$B$10*1000</f>
        <v>6.33174841640686</v>
      </c>
    </row>
    <row r="28" customFormat="false" ht="15" hidden="false" customHeight="true" outlineLevel="0" collapsed="false">
      <c r="A28" s="57" t="n">
        <v>19</v>
      </c>
      <c r="B28" s="57" t="n">
        <f aca="false">$B$5+A28</f>
        <v>44</v>
      </c>
      <c r="C28" s="57" t="n">
        <f aca="false">$B$6-B28</f>
        <v>46</v>
      </c>
      <c r="D28" s="13" t="n">
        <f aca="false">$B$10*(1+((1+$B$7)^A28-1)*(1-$B$9))/(1+$B$8)^A28</f>
        <v>587834.030703951</v>
      </c>
      <c r="E28" s="13" t="n">
        <f aca="false">D28*((1+$B$15)^(1/12)-1)/(1-(1+$B$15)^(-C28))</f>
        <v>1993.93349551056</v>
      </c>
      <c r="F28" s="47" t="n">
        <f aca="false">E28/$B$10*1000</f>
        <v>6.6464449850352</v>
      </c>
    </row>
    <row r="29" customFormat="false" ht="15" hidden="false" customHeight="true" outlineLevel="0" collapsed="false">
      <c r="A29" s="57" t="n">
        <v>20</v>
      </c>
      <c r="B29" s="57" t="n">
        <f aca="false">$B$5+A29</f>
        <v>45</v>
      </c>
      <c r="C29" s="57" t="n">
        <f aca="false">$B$6-B29</f>
        <v>45</v>
      </c>
      <c r="D29" s="13" t="n">
        <f aca="false">$B$10*(1+((1+$B$7)^A29-1)*(1-$B$9))/(1+$B$8)^A29</f>
        <v>611270.475780386</v>
      </c>
      <c r="E29" s="13" t="n">
        <f aca="false">D29*((1+$B$15)^(1/12)-1)/(1-(1+$B$15)^(-C29))</f>
        <v>2094.40713071399</v>
      </c>
      <c r="F29" s="47" t="n">
        <f aca="false">E29/$B$10*1000</f>
        <v>6.98135710237998</v>
      </c>
    </row>
    <row r="30" customFormat="false" ht="15" hidden="false" customHeight="true" outlineLevel="0" collapsed="false">
      <c r="A30" s="57" t="n">
        <v>21</v>
      </c>
      <c r="B30" s="57" t="n">
        <f aca="false">$B$5+A30</f>
        <v>46</v>
      </c>
      <c r="C30" s="57" t="n">
        <f aca="false">$B$6-B30</f>
        <v>44</v>
      </c>
      <c r="D30" s="13" t="n">
        <f aca="false">$B$10*(1+((1+$B$7)^A30-1)*(1-$B$9))/(1+$B$8)^A30</f>
        <v>635793.664850738</v>
      </c>
      <c r="E30" s="13" t="n">
        <f aca="false">D30*((1+$B$15)^(1/12)-1)/(1-(1+$B$15)^(-C30))</f>
        <v>2201.39966607415</v>
      </c>
      <c r="F30" s="47" t="n">
        <f aca="false">E30/$B$10*1000</f>
        <v>7.33799888691382</v>
      </c>
    </row>
    <row r="31" customFormat="false" ht="15" hidden="false" customHeight="true" outlineLevel="0" collapsed="false">
      <c r="A31" s="57" t="n">
        <v>22</v>
      </c>
      <c r="B31" s="57" t="n">
        <f aca="false">$B$5+A31</f>
        <v>47</v>
      </c>
      <c r="C31" s="57" t="n">
        <f aca="false">$B$6-B31</f>
        <v>43</v>
      </c>
      <c r="D31" s="13" t="n">
        <f aca="false">$B$10*(1+((1+$B$7)^A31-1)*(1-$B$9))/(1+$B$8)^A31</f>
        <v>661449.898214911</v>
      </c>
      <c r="E31" s="13" t="n">
        <f aca="false">D31*((1+$B$15)^(1/12)-1)/(1-(1+$B$15)^(-C31))</f>
        <v>2315.40877118185</v>
      </c>
      <c r="F31" s="47" t="n">
        <f aca="false">E31/$B$10*1000</f>
        <v>7.71802923727282</v>
      </c>
    </row>
    <row r="32" customFormat="false" ht="15" hidden="false" customHeight="true" outlineLevel="0" collapsed="false">
      <c r="A32" s="57" t="n">
        <v>23</v>
      </c>
      <c r="B32" s="57" t="n">
        <f aca="false">$B$5+A32</f>
        <v>48</v>
      </c>
      <c r="C32" s="57" t="n">
        <f aca="false">$B$6-B32</f>
        <v>42</v>
      </c>
      <c r="D32" s="13" t="n">
        <f aca="false">$B$10*(1+((1+$B$7)^A32-1)*(1-$B$9))/(1+$B$8)^A32</f>
        <v>688287.543269194</v>
      </c>
      <c r="E32" s="13" t="n">
        <f aca="false">D32*((1+$B$15)^(1/12)-1)/(1-(1+$B$15)^(-C32))</f>
        <v>2436.98073251216</v>
      </c>
      <c r="F32" s="47" t="n">
        <f aca="false">E32/$B$10*1000</f>
        <v>8.12326910837387</v>
      </c>
    </row>
    <row r="33" customFormat="false" ht="15" hidden="false" customHeight="true" outlineLevel="0" collapsed="false">
      <c r="A33" s="57" t="n">
        <v>24</v>
      </c>
      <c r="B33" s="57" t="n">
        <f aca="false">$B$5+A33</f>
        <v>49</v>
      </c>
      <c r="C33" s="57" t="n">
        <f aca="false">$B$6-B33</f>
        <v>41</v>
      </c>
      <c r="D33" s="13" t="n">
        <f aca="false">$B$10*(1+((1+$B$7)^A33-1)*(1-$B$9))/(1+$B$8)^A33</f>
        <v>716357.124417807</v>
      </c>
      <c r="E33" s="13" t="n">
        <f aca="false">D33*((1+$B$15)^(1/12)-1)/(1-(1+$B$15)^(-C33))</f>
        <v>2566.71639498055</v>
      </c>
      <c r="F33" s="47" t="n">
        <f aca="false">E33/$B$10*1000</f>
        <v>8.55572131660184</v>
      </c>
    </row>
    <row r="34" customFormat="false" ht="15" hidden="false" customHeight="true" outlineLevel="0" collapsed="false">
      <c r="A34" s="57" t="n">
        <v>25</v>
      </c>
      <c r="B34" s="57" t="n">
        <f aca="false">$B$5+A34</f>
        <v>50</v>
      </c>
      <c r="C34" s="57" t="n">
        <f aca="false">$B$6-B34</f>
        <v>40</v>
      </c>
      <c r="D34" s="13" t="n">
        <f aca="false">$B$10*(1+((1+$B$7)^A34-1)*(1-$B$9))/(1+$B$8)^A34</f>
        <v>745711.416952237</v>
      </c>
      <c r="E34" s="13" t="n">
        <f aca="false">D34*((1+$B$15)^(1/12)-1)/(1-(1+$B$15)^(-C34))</f>
        <v>2705.27799499141</v>
      </c>
      <c r="F34" s="47" t="n">
        <f aca="false">E34/$B$10*1000</f>
        <v>9.01759331663803</v>
      </c>
    </row>
    <row r="35" customFormat="false" ht="15" hidden="false" customHeight="true" outlineLevel="0" collapsed="false">
      <c r="A35" s="57" t="n">
        <v>26</v>
      </c>
      <c r="B35" s="57" t="n">
        <f aca="false">$B$5+A35</f>
        <v>51</v>
      </c>
      <c r="C35" s="57" t="n">
        <f aca="false">$B$6-B35</f>
        <v>39</v>
      </c>
      <c r="D35" s="13" t="n">
        <f aca="false">$B$10*(1+((1+$B$7)^A35-1)*(1-$B$9))/(1+$B$8)^A35</f>
        <v>776405.545072081</v>
      </c>
      <c r="E35" s="13" t="n">
        <f aca="false">D35*((1+$B$15)^(1/12)-1)/(1-(1+$B$15)^(-C35))</f>
        <v>2853.39704498578</v>
      </c>
      <c r="F35" s="47" t="n">
        <f aca="false">E35/$B$10*1000</f>
        <v>9.51132348328593</v>
      </c>
    </row>
    <row r="36" customFormat="false" ht="15" hidden="false" customHeight="true" outlineLevel="0" collapsed="false">
      <c r="A36" s="57" t="n">
        <v>27</v>
      </c>
      <c r="B36" s="57" t="n">
        <f aca="false">$B$5+A36</f>
        <v>52</v>
      </c>
      <c r="C36" s="57" t="n">
        <f aca="false">$B$6-B36</f>
        <v>38</v>
      </c>
      <c r="D36" s="13" t="n">
        <f aca="false">$B$10*(1+((1+$B$7)^A36-1)*(1-$B$9))/(1+$B$8)^A36</f>
        <v>808497.084228716</v>
      </c>
      <c r="E36" s="13" t="n">
        <f aca="false">D36*((1+$B$15)^(1/12)-1)/(1-(1+$B$15)^(-C36))</f>
        <v>3011.88346318095</v>
      </c>
      <c r="F36" s="47" t="n">
        <f aca="false">E36/$B$10*1000</f>
        <v>10.0396115439365</v>
      </c>
    </row>
    <row r="37" customFormat="false" ht="15" hidden="false" customHeight="true" outlineLevel="0" collapsed="false">
      <c r="A37" s="57" t="n">
        <v>28</v>
      </c>
      <c r="B37" s="57" t="n">
        <f aca="false">$B$5+A37</f>
        <v>53</v>
      </c>
      <c r="C37" s="57" t="n">
        <f aca="false">$B$6-B37</f>
        <v>37</v>
      </c>
      <c r="D37" s="13" t="n">
        <f aca="false">$B$10*(1+((1+$B$7)^A37-1)*(1-$B$9))/(1+$B$8)^A37</f>
        <v>842046.167981107</v>
      </c>
      <c r="E37" s="13" t="n">
        <f aca="false">D37*((1+$B$15)^(1/12)-1)/(1-(1+$B$15)^(-C37))</f>
        <v>3181.63618407439</v>
      </c>
      <c r="F37" s="47" t="n">
        <f aca="false">E37/$B$10*1000</f>
        <v>10.6054539469146</v>
      </c>
    </row>
    <row r="38" customFormat="false" ht="15" hidden="false" customHeight="true" outlineLevel="0" collapsed="false">
      <c r="A38" s="57" t="n">
        <v>29</v>
      </c>
      <c r="B38" s="57" t="n">
        <f aca="false">$B$5+A38</f>
        <v>54</v>
      </c>
      <c r="C38" s="57" t="n">
        <f aca="false">$B$6-B38</f>
        <v>36</v>
      </c>
      <c r="D38" s="13" t="n">
        <f aca="false">$B$10*(1+((1+$B$7)^A38-1)*(1-$B$9))/(1+$B$8)^A38</f>
        <v>877115.599561393</v>
      </c>
      <c r="E38" s="13" t="n">
        <f aca="false">D38*((1+$B$15)^(1/12)-1)/(1-(1+$B$15)^(-C38))</f>
        <v>3363.65553763414</v>
      </c>
      <c r="F38" s="47" t="n">
        <f aca="false">E38/$B$10*1000</f>
        <v>11.2121851254471</v>
      </c>
    </row>
    <row r="39" customFormat="false" ht="15" hidden="false" customHeight="true" outlineLevel="0" collapsed="false">
      <c r="A39" s="57" t="n">
        <v>30</v>
      </c>
      <c r="B39" s="57" t="n">
        <f aca="false">$B$5+A39</f>
        <v>55</v>
      </c>
      <c r="C39" s="57" t="n">
        <f aca="false">$B$6-B39</f>
        <v>35</v>
      </c>
      <c r="D39" s="13" t="n">
        <f aca="false">$B$10*(1+((1+$B$7)^A39-1)*(1-$B$9))/(1+$B$8)^A39</f>
        <v>913770.968356551</v>
      </c>
      <c r="E39" s="13" t="n">
        <f aca="false">D39*((1+$B$15)^(1/12)-1)/(1-(1+$B$15)^(-C39))</f>
        <v>3559.05775090872</v>
      </c>
      <c r="F39" s="47" t="n">
        <f aca="false">E39/$B$10*1000</f>
        <v>11.8635258363624</v>
      </c>
    </row>
    <row r="40" customFormat="false" ht="15" hidden="false" customHeight="true" outlineLevel="0" collapsed="false">
      <c r="A40" s="57" t="n">
        <v>31</v>
      </c>
      <c r="B40" s="57" t="n">
        <f aca="false">$B$5+A40</f>
        <v>56</v>
      </c>
      <c r="C40" s="57" t="n">
        <f aca="false">$B$6-B40</f>
        <v>34</v>
      </c>
      <c r="D40" s="13" t="n">
        <f aca="false">$B$10*(1+((1+$B$7)^A40-1)*(1-$B$9))/(1+$B$8)^A40</f>
        <v>952080.771521543</v>
      </c>
      <c r="E40" s="13" t="n">
        <f aca="false">D40*((1+$B$15)^(1/12)-1)/(1-(1+$B$15)^(-C40))</f>
        <v>3769.09200902158</v>
      </c>
      <c r="F40" s="47" t="n">
        <f aca="false">E40/$B$10*1000</f>
        <v>12.5636400300719</v>
      </c>
    </row>
    <row r="41" customFormat="false" ht="15" hidden="false" customHeight="true" outlineLevel="0" collapsed="false">
      <c r="A41" s="57" t="n">
        <v>32</v>
      </c>
      <c r="B41" s="57" t="n">
        <f aca="false">$B$5+A41</f>
        <v>57</v>
      </c>
      <c r="C41" s="57" t="n">
        <f aca="false">$B$6-B41</f>
        <v>33</v>
      </c>
      <c r="D41" s="13" t="n">
        <f aca="false">$B$10*(1+((1+$B$7)^A41-1)*(1-$B$9))/(1+$B$8)^A41</f>
        <v>992116.540948791</v>
      </c>
      <c r="E41" s="13" t="n">
        <f aca="false">D41*((1+$B$15)^(1/12)-1)/(1-(1+$B$15)^(-C41))</f>
        <v>3995.16061844574</v>
      </c>
      <c r="F41" s="47" t="n">
        <f aca="false">E41/$B$10*1000</f>
        <v>13.3172020614858</v>
      </c>
    </row>
    <row r="42" customFormat="false" ht="15" hidden="false" customHeight="true" outlineLevel="0" collapsed="false">
      <c r="A42" s="57" t="n">
        <v>33</v>
      </c>
      <c r="B42" s="57" t="n">
        <f aca="false">$B$5+A42</f>
        <v>58</v>
      </c>
      <c r="C42" s="57" t="n">
        <f aca="false">$B$6-B42</f>
        <v>32</v>
      </c>
      <c r="D42" s="13" t="n">
        <f aca="false">$B$10*(1+((1+$B$7)^A42-1)*(1-$B$9))/(1+$B$8)^A42</f>
        <v>1033952.97582872</v>
      </c>
      <c r="E42" s="13" t="n">
        <f aca="false">D42*((1+$B$15)^(1/12)-1)/(1-(1+$B$15)^(-C42))</f>
        <v>4238.84295117909</v>
      </c>
      <c r="F42" s="47" t="n">
        <f aca="false">E42/$B$10*1000</f>
        <v>14.1294765039303</v>
      </c>
    </row>
    <row r="43" customFormat="false" ht="15" hidden="false" customHeight="true" outlineLevel="0" collapsed="false">
      <c r="A43" s="57" t="n">
        <v>34</v>
      </c>
      <c r="B43" s="57" t="n">
        <f aca="false">$B$5+A43</f>
        <v>59</v>
      </c>
      <c r="C43" s="57" t="n">
        <f aca="false">$B$6-B43</f>
        <v>31</v>
      </c>
      <c r="D43" s="13" t="n">
        <f aca="false">$B$10*(1+((1+$B$7)^A43-1)*(1-$B$9))/(1+$B$8)^A43</f>
        <v>1077668.0810464</v>
      </c>
      <c r="E43" s="13" t="n">
        <f aca="false">D43*((1+$B$15)^(1/12)-1)/(1-(1+$B$15)^(-C43))</f>
        <v>4501.92402356865</v>
      </c>
      <c r="F43" s="47" t="n">
        <f aca="false">E43/$B$10*1000</f>
        <v>15.0064134118955</v>
      </c>
    </row>
    <row r="44" customFormat="false" ht="15" hidden="false" customHeight="true" outlineLevel="0" collapsed="false">
      <c r="A44" s="57" t="n">
        <v>35</v>
      </c>
      <c r="B44" s="57" t="n">
        <f aca="false">$B$5+A44</f>
        <v>60</v>
      </c>
      <c r="C44" s="57" t="n">
        <f aca="false">$B$6-B44</f>
        <v>30</v>
      </c>
      <c r="D44" s="13" t="n">
        <f aca="false">$B$10*(1+((1+$B$7)^A44-1)*(1-$B$9))/(1+$B$8)^A44</f>
        <v>1123343.31167017</v>
      </c>
      <c r="E44" s="13" t="n">
        <f aca="false">D44*((1+$B$15)^(1/12)-1)/(1-(1+$B$15)^(-C44))</f>
        <v>4786.42879119878</v>
      </c>
      <c r="F44" s="47" t="n">
        <f aca="false">E44/$B$10*1000</f>
        <v>15.9547626373293</v>
      </c>
    </row>
    <row r="45" customFormat="false" ht="15" hidden="false" customHeight="true" outlineLevel="0" collapsed="false">
      <c r="A45" s="57" t="n">
        <v>36</v>
      </c>
      <c r="B45" s="57" t="n">
        <f aca="false">$B$5+A45</f>
        <v>61</v>
      </c>
      <c r="C45" s="57" t="n">
        <f aca="false">$B$6-B45</f>
        <v>29</v>
      </c>
      <c r="D45" s="13" t="n">
        <f aca="false">$B$10*(1+((1+$B$7)^A45-1)*(1-$B$9))/(1+$B$8)^A45</f>
        <v>1171063.72379921</v>
      </c>
      <c r="E45" s="13" t="n">
        <f aca="false">D45*((1+$B$15)^(1/12)-1)/(1-(1+$B$15)^(-C45))</f>
        <v>5094.66353958003</v>
      </c>
      <c r="F45" s="47" t="n">
        <f aca="false">E45/$B$10*1000</f>
        <v>16.9822117986001</v>
      </c>
    </row>
    <row r="46" customFormat="false" ht="15" hidden="false" customHeight="true" outlineLevel="0" collapsed="false">
      <c r="A46" s="57" t="n">
        <v>37</v>
      </c>
      <c r="B46" s="57" t="n">
        <f aca="false">$B$5+A46</f>
        <v>62</v>
      </c>
      <c r="C46" s="57" t="n">
        <f aca="false">$B$6-B46</f>
        <v>28</v>
      </c>
      <c r="D46" s="13" t="n">
        <f aca="false">$B$10*(1+((1+$B$7)^A46-1)*(1-$B$9))/(1+$B$8)^A46</f>
        <v>1220918.1320489</v>
      </c>
      <c r="E46" s="13" t="n">
        <f aca="false">D46*((1+$B$15)^(1/12)-1)/(1-(1+$B$15)^(-C46))</f>
        <v>5429.26614458634</v>
      </c>
      <c r="F46" s="47" t="n">
        <f aca="false">E46/$B$10*1000</f>
        <v>18.0975538152878</v>
      </c>
    </row>
    <row r="47" customFormat="false" ht="15" hidden="false" customHeight="true" outlineLevel="0" collapsed="false">
      <c r="A47" s="57" t="n">
        <v>38</v>
      </c>
      <c r="B47" s="57" t="n">
        <f aca="false">$B$5+A47</f>
        <v>63</v>
      </c>
      <c r="C47" s="57" t="n">
        <f aca="false">$B$6-B47</f>
        <v>27</v>
      </c>
      <c r="D47" s="13" t="n">
        <f aca="false">$B$10*(1+((1+$B$7)^A47-1)*(1-$B$9))/(1+$B$8)^A47</f>
        <v>1272999.27396512</v>
      </c>
      <c r="E47" s="13" t="n">
        <f aca="false">D47*((1+$B$15)^(1/12)-1)/(1-(1+$B$15)^(-C47))</f>
        <v>5793.26750220268</v>
      </c>
      <c r="F47" s="47" t="n">
        <f aca="false">E47/$B$10*1000</f>
        <v>19.3108916740089</v>
      </c>
    </row>
    <row r="48" customFormat="false" ht="15" hidden="false" customHeight="true" outlineLevel="0" collapsed="false">
      <c r="A48" s="57" t="n">
        <v>39</v>
      </c>
      <c r="B48" s="57" t="n">
        <f aca="false">$B$5+A48</f>
        <v>64</v>
      </c>
      <c r="C48" s="57" t="n">
        <f aca="false">$B$6-B48</f>
        <v>26</v>
      </c>
      <c r="D48" s="13" t="n">
        <f aca="false">$B$10*(1+((1+$B$7)^A48-1)*(1-$B$9))/(1+$B$8)^A48</f>
        <v>1327403.98167108</v>
      </c>
      <c r="E48" s="13" t="n">
        <f aca="false">D48*((1+$B$15)^(1/12)-1)/(1-(1+$B$15)^(-C48))</f>
        <v>6190.16713470325</v>
      </c>
      <c r="F48" s="47" t="n">
        <f aca="false">E48/$B$10*1000</f>
        <v>20.6338904490109</v>
      </c>
    </row>
    <row r="49" customFormat="false" ht="15" hidden="false" customHeight="true" outlineLevel="0" collapsed="false">
      <c r="A49" s="59" t="n">
        <v>40</v>
      </c>
      <c r="B49" s="59" t="n">
        <f aca="false">$B$5+A49</f>
        <v>65</v>
      </c>
      <c r="C49" s="59" t="n">
        <f aca="false">$B$6-B49</f>
        <v>25</v>
      </c>
      <c r="D49" s="60" t="n">
        <f aca="false">$B$10*(1+((1+$B$7)^A49-1)*(1-$B$9))/(1+$B$8)^A49</f>
        <v>1384233.36106406</v>
      </c>
      <c r="E49" s="60" t="n">
        <f aca="false">D49*((1+$B$15)^(1/12)-1)/(1-(1+$B$15)^(-C49))</f>
        <v>6624.02694265949</v>
      </c>
      <c r="F49" s="61" t="n">
        <f aca="false">E49/$B$10*1000</f>
        <v>22.080089808865</v>
      </c>
    </row>
    <row r="50" customFormat="false" ht="15" hidden="false" customHeight="true" outlineLevel="0" collapsed="false">
      <c r="A50" s="57" t="n">
        <v>41</v>
      </c>
      <c r="B50" s="57" t="n">
        <f aca="false">$B$5+A50</f>
        <v>66</v>
      </c>
      <c r="C50" s="57" t="n">
        <f aca="false">$B$6-B50</f>
        <v>24</v>
      </c>
      <c r="D50" s="13" t="n">
        <f aca="false">$B$10*(1+((1+$B$7)^A50-1)*(1-$B$9))/(1+$B$8)^A50</f>
        <v>1443592.97889315</v>
      </c>
      <c r="E50" s="13" t="n">
        <f aca="false">D50*((1+$B$15)^(1/12)-1)/(1-(1+$B$15)^(-C50))</f>
        <v>7099.58839531033</v>
      </c>
      <c r="F50" s="47" t="n">
        <f aca="false">E50/$B$10*1000</f>
        <v>23.6652946510344</v>
      </c>
    </row>
    <row r="51" customFormat="false" ht="15" hidden="false" customHeight="true" outlineLevel="0" collapsed="false">
      <c r="A51" s="57" t="n">
        <v>42</v>
      </c>
      <c r="B51" s="57" t="n">
        <f aca="false">$B$5+A51</f>
        <v>67</v>
      </c>
      <c r="C51" s="57" t="n">
        <f aca="false">$B$6-B51</f>
        <v>23</v>
      </c>
      <c r="D51" s="13" t="n">
        <f aca="false">$B$10*(1+((1+$B$7)^A51-1)*(1-$B$9))/(1+$B$8)^A51</f>
        <v>1505593.05806353</v>
      </c>
      <c r="E51" s="13" t="n">
        <f aca="false">D51*((1+$B$15)^(1/12)-1)/(1-(1+$B$15)^(-C51))</f>
        <v>7622.42029270893</v>
      </c>
      <c r="F51" s="47" t="n">
        <f aca="false">E51/$B$10*1000</f>
        <v>25.4080676423631</v>
      </c>
    </row>
    <row r="52" customFormat="false" ht="15" hidden="false" customHeight="true" outlineLevel="0" collapsed="false">
      <c r="A52" s="57" t="n">
        <v>43</v>
      </c>
      <c r="B52" s="57" t="n">
        <f aca="false">$B$5+A52</f>
        <v>68</v>
      </c>
      <c r="C52" s="57" t="n">
        <f aca="false">$B$6-B52</f>
        <v>22</v>
      </c>
      <c r="D52" s="13" t="n">
        <f aca="false">$B$10*(1+((1+$B$7)^A52-1)*(1-$B$9))/(1+$B$8)^A52</f>
        <v>1570348.68152826</v>
      </c>
      <c r="E52" s="13" t="n">
        <f aca="false">D52*((1+$B$15)^(1/12)-1)/(1-(1+$B$15)^(-C52))</f>
        <v>8199.10682702912</v>
      </c>
      <c r="F52" s="47" t="n">
        <f aca="false">E52/$B$10*1000</f>
        <v>27.3303560900971</v>
      </c>
    </row>
    <row r="53" customFormat="false" ht="15" hidden="false" customHeight="true" outlineLevel="0" collapsed="false">
      <c r="A53" s="57" t="n">
        <v>44</v>
      </c>
      <c r="B53" s="57" t="n">
        <f aca="false">$B$5+A53</f>
        <v>69</v>
      </c>
      <c r="C53" s="57" t="n">
        <f aca="false">$B$6-B53</f>
        <v>21</v>
      </c>
      <c r="D53" s="13" t="n">
        <f aca="false">$B$10*(1+((1+$B$7)^A53-1)*(1-$B$9))/(1+$B$8)^A53</f>
        <v>1637980.00514418</v>
      </c>
      <c r="E53" s="13" t="n">
        <f aca="false">D53*((1+$B$15)^(1/12)-1)/(1-(1+$B$15)^(-C53))</f>
        <v>8837.48937608551</v>
      </c>
      <c r="F53" s="47" t="n">
        <f aca="false">E53/$B$10*1000</f>
        <v>29.458297920285</v>
      </c>
    </row>
    <row r="54" customFormat="false" ht="15" hidden="false" customHeight="true" outlineLevel="0" collapsed="false">
      <c r="A54" s="57" t="n">
        <v>45</v>
      </c>
      <c r="B54" s="57" t="n">
        <f aca="false">$B$5+A54</f>
        <v>70</v>
      </c>
      <c r="C54" s="57" t="n">
        <f aca="false">$B$6-B54</f>
        <v>20</v>
      </c>
      <c r="D54" s="13" t="n">
        <f aca="false">$B$10*(1+((1+$B$7)^A54-1)*(1-$B$9))/(1+$B$8)^A54</f>
        <v>1708612.47988524</v>
      </c>
      <c r="E54" s="13" t="n">
        <f aca="false">D54*((1+$B$15)^(1/12)-1)/(1-(1+$B$15)^(-C54))</f>
        <v>9546.98083534307</v>
      </c>
      <c r="F54" s="47" t="n">
        <f aca="false">E54/$B$10*1000</f>
        <v>31.8232694511436</v>
      </c>
    </row>
    <row r="56" customFormat="false" ht="15" hidden="false" customHeight="true" outlineLevel="0" collapsed="false">
      <c r="A56" s="16" t="s">
        <v>113</v>
      </c>
      <c r="B56" s="17"/>
      <c r="C56" s="17"/>
      <c r="D56" s="17"/>
      <c r="E56" s="17"/>
      <c r="F56" s="17"/>
    </row>
    <row r="57" customFormat="false" ht="15" hidden="false" customHeight="true" outlineLevel="0" collapsed="false">
      <c r="A57" s="62" t="s">
        <v>114</v>
      </c>
    </row>
    <row r="58" customFormat="false" ht="15" hidden="false" customHeight="true" outlineLevel="0" collapsed="false">
      <c r="A58" s="63" t="s">
        <v>115</v>
      </c>
    </row>
    <row r="59" customFormat="false" ht="15" hidden="false" customHeight="true" outlineLevel="0" collapsed="false">
      <c r="A59" s="63" t="s">
        <v>116</v>
      </c>
    </row>
    <row r="60" customFormat="false" ht="15" hidden="false" customHeight="true" outlineLevel="0" collapsed="false">
      <c r="A60" s="63" t="s">
        <v>117</v>
      </c>
    </row>
    <row r="61" customFormat="false" ht="15" hidden="false" customHeight="true" outlineLevel="0" collapsed="false">
      <c r="A61" s="63" t="s">
        <v>118</v>
      </c>
    </row>
    <row r="62" customFormat="false" ht="15" hidden="false" customHeight="true" outlineLevel="0" collapsed="false">
      <c r="A62" s="6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2026-06-24T15:25:05Z</dcterms:created>
  <dc:creator>openpyxl</dc:creator>
  <dc:description/>
  <dc:language>en-US</dc:language>
  <cp:lastModifiedBy/>
  <dcterms:modified xsi:type="dcterms:W3CDTF">2026-07-12T11:34:21Z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